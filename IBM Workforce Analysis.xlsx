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hidePivotFieldList="1" defaultThemeVersion="202300"/>
  <mc:AlternateContent xmlns:mc="http://schemas.openxmlformats.org/markup-compatibility/2006">
    <mc:Choice Requires="x15">
      <x15ac:absPath xmlns:x15ac="http://schemas.microsoft.com/office/spreadsheetml/2010/11/ac" url="https://deakin365-my.sharepoint.com/personal/s225125235_deakin_edu_au/Documents/"/>
    </mc:Choice>
  </mc:AlternateContent>
  <xr:revisionPtr revIDLastSave="0" documentId="6_{E48C22FC-3C8D-7D47-AC59-F325CDB1036B}" xr6:coauthVersionLast="47" xr6:coauthVersionMax="47" xr10:uidLastSave="{00000000-0000-0000-0000-000000000000}"/>
  <bookViews>
    <workbookView xWindow="4300" yWindow="860" windowWidth="29900" windowHeight="21380" activeTab="9" xr2:uid="{030E6C76-4C98-43B1-9054-6C7EBFFDFCDB}"/>
  </bookViews>
  <sheets>
    <sheet name="Employee Attrition" sheetId="1" r:id="rId1"/>
    <sheet name="Job_Satisfaction_Changes" sheetId="2" r:id="rId2"/>
    <sheet name="Early-Career_Retention" sheetId="3" r:id="rId3"/>
    <sheet name="Analysis Result " sheetId="4" r:id="rId4"/>
    <sheet name="1.1 TASK " sheetId="5" r:id="rId5"/>
    <sheet name="1.2 TASK" sheetId="6" r:id="rId6"/>
    <sheet name="1.3 TASK " sheetId="7" r:id="rId7"/>
    <sheet name="2.1 Task " sheetId="8" r:id="rId8"/>
    <sheet name="2.2 TASK" sheetId="9" r:id="rId9"/>
    <sheet name="2.3TASK__" sheetId="11" r:id="rId10"/>
  </sheets>
  <externalReferences>
    <externalReference r:id="rId11"/>
  </externalReferences>
  <definedNames>
    <definedName name="_xlnm._FilterDatabase" localSheetId="7" hidden="1">'2.1 Task '!$A$1:$C$121</definedName>
    <definedName name="_xlnm._FilterDatabase" localSheetId="2" hidden="1">'Early-Career_Retention'!$A$1:$F$91</definedName>
    <definedName name="_xlnm._FilterDatabase" localSheetId="0" hidden="1">'Employee Attrition'!$A$1:$L$121</definedName>
    <definedName name="_xlchart.v1.0" hidden="1">'1.1 TASK '!$A$1</definedName>
    <definedName name="_xlchart.v1.1" hidden="1">'1.1 TASK '!$A$2:$A$45</definedName>
    <definedName name="_xlchart.v1.2" hidden="1">'1.1 TASK '!$B$1</definedName>
    <definedName name="_xlchart.v1.3" hidden="1">'1.1 TASK '!$B$2:$B$45</definedName>
    <definedName name="_xlchart.v1.4" hidden="1">'1.1 TASK '!$J$13:$K$13</definedName>
  </definedNames>
  <calcPr calcId="191029"/>
  <pivotCaches>
    <pivotCache cacheId="4" r:id="rId12"/>
    <pivotCache cacheId="5"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 i="9" l="1"/>
  <c r="F72" i="11"/>
  <c r="F71" i="11"/>
  <c r="F70" i="11"/>
  <c r="G66" i="11"/>
  <c r="G53" i="11"/>
  <c r="G56" i="11" s="1"/>
  <c r="G67" i="11" s="1"/>
  <c r="F46" i="11"/>
  <c r="F45" i="11"/>
  <c r="I44" i="11"/>
  <c r="H44" i="11"/>
  <c r="G44" i="11"/>
  <c r="F44" i="11"/>
  <c r="G43" i="11"/>
  <c r="I40" i="11"/>
  <c r="G72" i="11" s="1"/>
  <c r="H40" i="11"/>
  <c r="G71" i="11" s="1"/>
  <c r="G40" i="11"/>
  <c r="G70" i="11" s="1"/>
  <c r="J39" i="11"/>
  <c r="J38" i="11"/>
  <c r="P26" i="9"/>
  <c r="P27" i="9" s="1"/>
  <c r="P25" i="9"/>
  <c r="D33"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2" i="9"/>
  <c r="L32" i="9"/>
  <c r="L20" i="9"/>
  <c r="L25" i="9" s="1"/>
  <c r="L18" i="9"/>
  <c r="K18" i="9"/>
  <c r="F62" i="7"/>
  <c r="F61" i="7"/>
  <c r="F60" i="7"/>
  <c r="G56" i="7"/>
  <c r="G43" i="7"/>
  <c r="G46" i="7" s="1"/>
  <c r="G57" i="7" s="1"/>
  <c r="F36" i="7"/>
  <c r="F35" i="7"/>
  <c r="I34" i="7"/>
  <c r="H34" i="7"/>
  <c r="G34" i="7"/>
  <c r="F34" i="7"/>
  <c r="G33" i="7"/>
  <c r="I30" i="7"/>
  <c r="G62" i="7" s="1"/>
  <c r="H30" i="7"/>
  <c r="G61" i="7" s="1"/>
  <c r="G69" i="7" s="1"/>
  <c r="G30" i="7"/>
  <c r="J29" i="7"/>
  <c r="J28" i="7"/>
  <c r="H33" i="5"/>
  <c r="H46" i="5" s="1"/>
  <c r="H47" i="5" s="1"/>
  <c r="H29" i="5"/>
  <c r="H34" i="5" s="1"/>
  <c r="H27" i="5"/>
  <c r="G27" i="5"/>
  <c r="E34" i="5" s="1"/>
  <c r="G76" i="11" l="1"/>
  <c r="J40" i="11"/>
  <c r="I45" i="11" s="1"/>
  <c r="N38" i="11" s="1"/>
  <c r="N45" i="11" s="1"/>
  <c r="H76" i="11"/>
  <c r="I76" i="11" s="1"/>
  <c r="H79" i="11"/>
  <c r="H77" i="11"/>
  <c r="G79" i="11"/>
  <c r="G77" i="11"/>
  <c r="P28" i="9"/>
  <c r="P32" i="9"/>
  <c r="P31" i="9"/>
  <c r="L33" i="9"/>
  <c r="L34" i="9" s="1"/>
  <c r="I37" i="9" s="1"/>
  <c r="L26" i="9"/>
  <c r="I25" i="9"/>
  <c r="I26" i="9"/>
  <c r="J30" i="7"/>
  <c r="I35" i="7" s="1"/>
  <c r="N28" i="7" s="1"/>
  <c r="N35" i="7" s="1"/>
  <c r="H69" i="7"/>
  <c r="I69" i="7" s="1"/>
  <c r="H35" i="7"/>
  <c r="G60" i="7"/>
  <c r="H48" i="5"/>
  <c r="E35" i="5"/>
  <c r="H35" i="5"/>
  <c r="H49" i="5"/>
  <c r="E52" i="5" s="1"/>
  <c r="G45" i="11" l="1"/>
  <c r="I46" i="11"/>
  <c r="N39" i="11" s="1"/>
  <c r="N46" i="11" s="1"/>
  <c r="I36" i="7"/>
  <c r="N29" i="7" s="1"/>
  <c r="N36" i="7" s="1"/>
  <c r="G35" i="7"/>
  <c r="I79" i="11"/>
  <c r="H46" i="11"/>
  <c r="M39" i="11" s="1"/>
  <c r="M46" i="11" s="1"/>
  <c r="G46" i="11"/>
  <c r="L39" i="11" s="1"/>
  <c r="L46" i="11" s="1"/>
  <c r="H45" i="11"/>
  <c r="F62" i="11" s="1"/>
  <c r="L38" i="11"/>
  <c r="L45" i="11" s="1"/>
  <c r="I77" i="11"/>
  <c r="I37" i="7"/>
  <c r="G36" i="7"/>
  <c r="H36" i="7"/>
  <c r="M29" i="7" s="1"/>
  <c r="M36" i="7" s="1"/>
  <c r="H37" i="7"/>
  <c r="M28" i="7"/>
  <c r="M35" i="7" s="1"/>
  <c r="G66" i="7"/>
  <c r="G67" i="7"/>
  <c r="H66" i="7"/>
  <c r="H67" i="7"/>
  <c r="J35" i="7"/>
  <c r="L28" i="7"/>
  <c r="L35" i="7" s="1"/>
  <c r="G47" i="11" l="1"/>
  <c r="J46" i="11"/>
  <c r="I47" i="11"/>
  <c r="F52" i="7"/>
  <c r="J36" i="7"/>
  <c r="L29" i="7"/>
  <c r="L36" i="7" s="1"/>
  <c r="G47" i="7" s="1"/>
  <c r="G48" i="7" s="1"/>
  <c r="F49" i="7" s="1"/>
  <c r="G37" i="7"/>
  <c r="J37" i="7" s="1"/>
  <c r="H47" i="11"/>
  <c r="J47" i="11" s="1"/>
  <c r="M38" i="11"/>
  <c r="M45" i="11" s="1"/>
  <c r="J45" i="11"/>
  <c r="G57" i="11"/>
  <c r="G58" i="11" s="1"/>
  <c r="F59" i="11" s="1"/>
  <c r="I66" i="7"/>
  <c r="I67" i="7"/>
</calcChain>
</file>

<file path=xl/sharedStrings.xml><?xml version="1.0" encoding="utf-8"?>
<sst xmlns="http://schemas.openxmlformats.org/spreadsheetml/2006/main" count="1728" uniqueCount="159">
  <si>
    <t>Age</t>
  </si>
  <si>
    <t>Attrition</t>
  </si>
  <si>
    <t>Gender</t>
  </si>
  <si>
    <t>JobLevel</t>
  </si>
  <si>
    <t>JobRole</t>
  </si>
  <si>
    <t>JobSatisfaction</t>
  </si>
  <si>
    <t>MaritalStatus</t>
  </si>
  <si>
    <t>MonthlyIncome</t>
  </si>
  <si>
    <t>OverTime</t>
  </si>
  <si>
    <t>StockOptionLevel</t>
  </si>
  <si>
    <t>TotalWorkingYears</t>
  </si>
  <si>
    <t>Yes</t>
  </si>
  <si>
    <t>Female</t>
  </si>
  <si>
    <t>Single</t>
  </si>
  <si>
    <t>No</t>
  </si>
  <si>
    <t>Male</t>
  </si>
  <si>
    <t>Research Scientist</t>
  </si>
  <si>
    <t>Married</t>
  </si>
  <si>
    <t>Laboratory Technician</t>
  </si>
  <si>
    <t>Divorced</t>
  </si>
  <si>
    <t>Research Director</t>
  </si>
  <si>
    <t>EmployeeID</t>
  </si>
  <si>
    <t>JobSatisfaction_2023</t>
  </si>
  <si>
    <t>JobSatisfaction_2024</t>
  </si>
  <si>
    <t>ParticipantID</t>
  </si>
  <si>
    <t>Group</t>
  </si>
  <si>
    <t>RetentionAfter6Months</t>
  </si>
  <si>
    <t>JobSatisfaction_Before</t>
  </si>
  <si>
    <t>JobSatisfaction_After</t>
  </si>
  <si>
    <t>Control</t>
  </si>
  <si>
    <t>Mentoring program</t>
  </si>
  <si>
    <t>Experiential Program</t>
  </si>
  <si>
    <t>For all questions in the case scenario, please apply the following standard assumptions:</t>
  </si>
  <si>
    <r>
      <t xml:space="preserve">✅ Use a </t>
    </r>
    <r>
      <rPr>
        <b/>
        <sz val="12"/>
        <color rgb="FF000000"/>
        <rFont val="Calibri"/>
        <family val="2"/>
      </rPr>
      <t>95% confidence level</t>
    </r>
    <r>
      <rPr>
        <sz val="12"/>
        <color rgb="FF000000"/>
        <rFont val="Calibri"/>
        <family val="2"/>
      </rPr>
      <t xml:space="preserve"> when calculating intervals</t>
    </r>
  </si>
  <si>
    <r>
      <t xml:space="preserve">✅ Use a </t>
    </r>
    <r>
      <rPr>
        <b/>
        <sz val="12"/>
        <color rgb="FF000000"/>
        <rFont val="Calibri"/>
        <family val="2"/>
      </rPr>
      <t>5% significance level (α = 0.05)</t>
    </r>
    <r>
      <rPr>
        <sz val="12"/>
        <color rgb="FF000000"/>
        <rFont val="Calibri"/>
        <family val="2"/>
      </rPr>
      <t xml:space="preserve"> for hypothesis testing</t>
    </r>
  </si>
  <si>
    <t>There is no specific requirement regarding the number of sheets you must use. However, it's recommended to organize each question's solution clearly on separate sheets if possible. This approach will make your submission easier to follow for our markers. For example, using Sheet 1 (name it as 1.1) for question 1.1, Sheet 2 for question 1.2, and so on, is encouraged for clarity.</t>
  </si>
  <si>
    <r>
      <t xml:space="preserve">Hypothesis Test for </t>
    </r>
    <r>
      <rPr>
        <b/>
        <sz val="10"/>
        <rFont val="Calibri"/>
        <family val="2"/>
      </rPr>
      <t>µ1 - µ2 (independent, equal variances)</t>
    </r>
  </si>
  <si>
    <t>Hypotheses</t>
  </si>
  <si>
    <t>Null Hypothesis</t>
  </si>
  <si>
    <r>
      <t>µ</t>
    </r>
    <r>
      <rPr>
        <vertAlign val="subscript"/>
        <sz val="10"/>
        <rFont val="Arial"/>
        <family val="2"/>
      </rPr>
      <t>1</t>
    </r>
    <r>
      <rPr>
        <sz val="10"/>
        <rFont val="Arial"/>
        <family val="2"/>
      </rPr>
      <t xml:space="preserve"> - µ</t>
    </r>
    <r>
      <rPr>
        <vertAlign val="subscript"/>
        <sz val="10"/>
        <rFont val="Arial"/>
        <family val="2"/>
      </rPr>
      <t>2</t>
    </r>
  </si>
  <si>
    <t>Alternative Hypothesis</t>
  </si>
  <si>
    <t>≠</t>
  </si>
  <si>
    <t>Test Type</t>
  </si>
  <si>
    <t>Level of significance</t>
  </si>
  <si>
    <t>α</t>
  </si>
  <si>
    <t>Critical Region</t>
  </si>
  <si>
    <t>Degrees of Freedom</t>
  </si>
  <si>
    <t>Sample Results</t>
  </si>
  <si>
    <t>Sample 1 Data</t>
  </si>
  <si>
    <t>Sample Standard Deviation</t>
  </si>
  <si>
    <t>Sample Mean</t>
  </si>
  <si>
    <t>Sample Size</t>
  </si>
  <si>
    <t>Sample 2 Data</t>
  </si>
  <si>
    <t>Pooled Variance</t>
  </si>
  <si>
    <t>Standard Error of the Mean</t>
  </si>
  <si>
    <r>
      <t>t</t>
    </r>
    <r>
      <rPr>
        <sz val="10"/>
        <rFont val="Arial"/>
        <family val="2"/>
      </rPr>
      <t xml:space="preserve"> Sample Statistic</t>
    </r>
  </si>
  <si>
    <t>p-value</t>
  </si>
  <si>
    <t>Decision</t>
  </si>
  <si>
    <t>MonthlyIncome(Female)</t>
  </si>
  <si>
    <t>MonthlyIncome(Male)</t>
  </si>
  <si>
    <t>MonthlyIncome(Married)</t>
  </si>
  <si>
    <t>MonthlyIncome(Divorced)</t>
  </si>
  <si>
    <t>MonthlyIncome(Single)</t>
  </si>
  <si>
    <t>Anova: Single Factor</t>
  </si>
  <si>
    <t>SUMMARY</t>
  </si>
  <si>
    <t>Groups</t>
  </si>
  <si>
    <t>Count</t>
  </si>
  <si>
    <t>Sum</t>
  </si>
  <si>
    <t>Average</t>
  </si>
  <si>
    <t>Variance</t>
  </si>
  <si>
    <t>ANOVA</t>
  </si>
  <si>
    <t>Source of Variation</t>
  </si>
  <si>
    <t>SS</t>
  </si>
  <si>
    <t>df</t>
  </si>
  <si>
    <t>MS</t>
  </si>
  <si>
    <t>F</t>
  </si>
  <si>
    <t>P-value</t>
  </si>
  <si>
    <t>F crit</t>
  </si>
  <si>
    <t>Between Groups</t>
  </si>
  <si>
    <t>Within Groups</t>
  </si>
  <si>
    <t>Total</t>
  </si>
  <si>
    <t xml:space="preserve">Descriptive stats </t>
  </si>
  <si>
    <t>Row Labels</t>
  </si>
  <si>
    <t>Grand Total</t>
  </si>
  <si>
    <t>Column Labels</t>
  </si>
  <si>
    <t>Count of JobRole</t>
  </si>
  <si>
    <t>Chi-Square Test</t>
  </si>
  <si>
    <t>Observed Frequencies</t>
  </si>
  <si>
    <t>Column variable</t>
  </si>
  <si>
    <t>Calculations</t>
  </si>
  <si>
    <t>Row variable</t>
  </si>
  <si>
    <t>fo - fe</t>
  </si>
  <si>
    <t>Expected Frequencies</t>
  </si>
  <si>
    <t>(fo - fe)^2/fe</t>
  </si>
  <si>
    <t>Data</t>
  </si>
  <si>
    <t>Level of Significance</t>
  </si>
  <si>
    <t>Number of Rows</t>
  </si>
  <si>
    <t>Number of Columns</t>
  </si>
  <si>
    <t>Results</t>
  </si>
  <si>
    <t>Critical Value</t>
  </si>
  <si>
    <t>Chi-Square Test Statistic</t>
  </si>
  <si>
    <r>
      <t>p</t>
    </r>
    <r>
      <rPr>
        <sz val="11"/>
        <rFont val="Calibri"/>
        <family val="2"/>
      </rPr>
      <t>-Value</t>
    </r>
  </si>
  <si>
    <t>Expected frequency assumption</t>
  </si>
  <si>
    <t xml:space="preserve">Marascuilo Procedure </t>
  </si>
  <si>
    <t>Square Root of Critical Value</t>
  </si>
  <si>
    <t>Group Sample Proportions</t>
  </si>
  <si>
    <t>MARASCUILO TABLE</t>
  </si>
  <si>
    <t>Proportions</t>
  </si>
  <si>
    <t>Absolute Differences</t>
  </si>
  <si>
    <t>Critical Range</t>
  </si>
  <si>
    <t>NO</t>
  </si>
  <si>
    <t>YES</t>
  </si>
  <si>
    <t>Anova: Two-Factor With Replication</t>
  </si>
  <si>
    <t>Sample</t>
  </si>
  <si>
    <t>Columns</t>
  </si>
  <si>
    <t>Interaction</t>
  </si>
  <si>
    <t>Within</t>
  </si>
  <si>
    <r>
      <t xml:space="preserve">Hypothesis Test for </t>
    </r>
    <r>
      <rPr>
        <b/>
        <sz val="10"/>
        <rFont val="Calibri"/>
        <family val="2"/>
      </rPr>
      <t>µ1 - µ2 (Dependent)</t>
    </r>
  </si>
  <si>
    <r>
      <t xml:space="preserve"> µ</t>
    </r>
    <r>
      <rPr>
        <vertAlign val="subscript"/>
        <sz val="10"/>
        <rFont val="Arial"/>
        <family val="2"/>
      </rPr>
      <t>D</t>
    </r>
  </si>
  <si>
    <t>Sample Data</t>
  </si>
  <si>
    <t>Sample Standard Deviation of differences</t>
  </si>
  <si>
    <t>Sample Mean of differences</t>
  </si>
  <si>
    <t>Difference(2024-2023)</t>
  </si>
  <si>
    <t xml:space="preserve">Std Deviation </t>
  </si>
  <si>
    <t>Level of Confidence</t>
  </si>
  <si>
    <t>Confidence Level (%)</t>
  </si>
  <si>
    <t xml:space="preserve"> Sample Data</t>
  </si>
  <si>
    <t>Sample Standard Deviation of Differences</t>
  </si>
  <si>
    <t>Sample Mean of Differences</t>
  </si>
  <si>
    <t>Intermediate Calculations</t>
  </si>
  <si>
    <t>Standard Error of the Mean Differences</t>
  </si>
  <si>
    <r>
      <t>t</t>
    </r>
    <r>
      <rPr>
        <sz val="10"/>
        <rFont val="Arial"/>
        <family val="2"/>
      </rPr>
      <t xml:space="preserve"> Value</t>
    </r>
  </si>
  <si>
    <t>Margin of Error</t>
  </si>
  <si>
    <t>Confidence Interval</t>
  </si>
  <si>
    <t>Interval Lower Limit</t>
  </si>
  <si>
    <t>Interval Upper Limit</t>
  </si>
  <si>
    <t>Count of Group</t>
  </si>
  <si>
    <t>Mean</t>
  </si>
  <si>
    <t>Standard Error</t>
  </si>
  <si>
    <t>Median</t>
  </si>
  <si>
    <t>Mode</t>
  </si>
  <si>
    <t>Standard Deviation</t>
  </si>
  <si>
    <t>Sample Variance</t>
  </si>
  <si>
    <t>Kurtosis</t>
  </si>
  <si>
    <t>Skewness</t>
  </si>
  <si>
    <t>Range</t>
  </si>
  <si>
    <t>Minimum</t>
  </si>
  <si>
    <t>Maximum</t>
  </si>
  <si>
    <t>DESCRIPTIVE STATISTICS</t>
  </si>
  <si>
    <t>Values</t>
  </si>
  <si>
    <t>Values2</t>
  </si>
  <si>
    <t>Values3</t>
  </si>
  <si>
    <t>Descriptive Statistics</t>
  </si>
  <si>
    <t>| Group1(Control)-Group 2(Experiential Program)</t>
  </si>
  <si>
    <t>| Group1(Control)-Group 3(Mentoring Program)</t>
  </si>
  <si>
    <t>| Group2(Experiential Program)-Group 3(Mentoring Program)</t>
  </si>
  <si>
    <t>| Group1(Laboratory Technician)-Group 2(Research Director)</t>
  </si>
  <si>
    <t>| Group1(Laboratory Technician)-Group 2(Research Technician)</t>
  </si>
  <si>
    <t>| Group1(Research Director)-Group 2(Research Technician)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</si>
</sst>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
  </numFmts>
  <fonts count="23">
    <font>
      <sz val="11"/>
      <color theme="1"/>
      <name val="Aptos Narrow"/>
      <family val="2"/>
      <scheme val="minor"/>
    </font>
    <font>
      <sz val="12"/>
      <color rgb="FF000000"/>
      <name val="Calibri"/>
      <family val="2"/>
    </font>
    <font>
      <sz val="12"/>
      <color rgb="FF000000"/>
      <name val="+mn-ea"/>
    </font>
    <font>
      <b/>
      <sz val="12"/>
      <color rgb="FF000000"/>
      <name val="Calibri"/>
      <family val="2"/>
    </font>
    <font>
      <sz val="10"/>
      <name val="Arial"/>
      <family val="2"/>
    </font>
    <font>
      <b/>
      <sz val="10"/>
      <name val="Arial"/>
      <family val="2"/>
    </font>
    <font>
      <b/>
      <sz val="10"/>
      <name val="Calibri"/>
      <family val="2"/>
    </font>
    <font>
      <vertAlign val="subscript"/>
      <sz val="10"/>
      <name val="Arial"/>
      <family val="2"/>
    </font>
    <font>
      <sz val="10"/>
      <name val="Calibri"/>
      <family val="2"/>
    </font>
    <font>
      <i/>
      <sz val="10"/>
      <name val="Arial"/>
      <family val="2"/>
    </font>
    <font>
      <i/>
      <sz val="11"/>
      <color theme="1"/>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i/>
      <sz val="11"/>
      <name val="Aptos Narrow"/>
      <family val="2"/>
      <scheme val="minor"/>
    </font>
    <font>
      <sz val="11"/>
      <name val="Calibri"/>
      <family val="2"/>
    </font>
    <font>
      <b/>
      <i/>
      <sz val="11"/>
      <name val="Aptos Narrow"/>
      <family val="2"/>
      <scheme val="minor"/>
    </font>
    <font>
      <i/>
      <sz val="10"/>
      <color theme="1"/>
      <name val="Aptos Narrow"/>
      <family val="2"/>
      <scheme val="minor"/>
    </font>
    <font>
      <sz val="12"/>
      <color rgb="FFFF0000"/>
      <name val="Aptos Narrow"/>
      <family val="2"/>
      <scheme val="minor"/>
    </font>
    <font>
      <sz val="11"/>
      <color rgb="FFFF0000"/>
      <name val="Aptos Narrow"/>
      <family val="2"/>
      <scheme val="minor"/>
    </font>
    <font>
      <b/>
      <sz val="14"/>
      <color theme="1"/>
      <name val="Aptos Narrow"/>
      <scheme val="minor"/>
    </font>
    <font>
      <b/>
      <sz val="11"/>
      <color theme="1"/>
      <name val="Aptos Narrow"/>
      <scheme val="minor"/>
    </font>
    <font>
      <b/>
      <sz val="12"/>
      <color theme="1"/>
      <name val="Aptos Narrow"/>
      <scheme val="minor"/>
    </font>
  </fonts>
  <fills count="14">
    <fill>
      <patternFill patternType="none"/>
    </fill>
    <fill>
      <patternFill patternType="gray125"/>
    </fill>
    <fill>
      <patternFill patternType="solid">
        <fgColor theme="0" tint="-0.14999847407452621"/>
        <bgColor indexed="64"/>
      </patternFill>
    </fill>
    <fill>
      <patternFill patternType="solid">
        <fgColor theme="3" tint="0.59999389629810485"/>
        <bgColor indexed="64"/>
      </patternFill>
    </fill>
    <fill>
      <patternFill patternType="solid">
        <fgColor rgb="FF92D05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indexed="65"/>
        <bgColor indexed="64"/>
      </patternFill>
    </fill>
    <fill>
      <patternFill patternType="solid">
        <fgColor indexed="41"/>
        <bgColor indexed="64"/>
      </patternFill>
    </fill>
    <fill>
      <patternFill patternType="solid">
        <fgColor indexed="43"/>
        <bgColor indexed="64"/>
      </patternFill>
    </fill>
    <fill>
      <patternFill patternType="solid">
        <fgColor theme="7"/>
        <bgColor indexed="64"/>
      </patternFill>
    </fill>
    <fill>
      <patternFill patternType="solid">
        <fgColor theme="6" tint="0.59999389629810485"/>
        <bgColor indexed="64"/>
      </patternFill>
    </fill>
    <fill>
      <patternFill patternType="solid">
        <fgColor theme="4" tint="0.39997558519241921"/>
        <bgColor indexed="64"/>
      </patternFill>
    </fill>
  </fills>
  <borders count="25">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medium">
        <color indexed="64"/>
      </bottom>
      <diagonal/>
    </border>
    <border>
      <left/>
      <right/>
      <top/>
      <bottom style="thin">
        <color theme="4" tint="0.39997558519241921"/>
      </bottom>
      <diagonal/>
    </border>
    <border>
      <left style="thin">
        <color indexed="64"/>
      </left>
      <right/>
      <top style="thin">
        <color indexed="64"/>
      </top>
      <bottom style="thin">
        <color indexed="64"/>
      </bottom>
      <diagonal/>
    </border>
    <border>
      <left/>
      <right/>
      <top/>
      <bottom style="thin">
        <color indexed="64"/>
      </bottom>
      <diagonal/>
    </border>
    <border>
      <left/>
      <right/>
      <top/>
      <bottom style="medium">
        <color indexed="18"/>
      </bottom>
      <diagonal/>
    </border>
    <border>
      <left/>
      <right style="medium">
        <color indexed="64"/>
      </right>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4" fillId="0" borderId="0"/>
    <xf numFmtId="9" fontId="4" fillId="0" borderId="0" applyFont="0" applyFill="0" applyBorder="0" applyAlignment="0" applyProtection="0"/>
  </cellStyleXfs>
  <cellXfs count="127">
    <xf numFmtId="0" fontId="0" fillId="0" borderId="0" xfId="0"/>
    <xf numFmtId="0" fontId="0" fillId="0" borderId="0" xfId="0" applyAlignment="1">
      <alignment horizontal="center"/>
    </xf>
    <xf numFmtId="0" fontId="1" fillId="0" borderId="0" xfId="0" applyFont="1" applyAlignment="1">
      <alignment horizontal="left" vertical="center" readingOrder="1"/>
    </xf>
    <xf numFmtId="0" fontId="2" fillId="0" borderId="0" xfId="0" applyFont="1" applyAlignment="1">
      <alignment horizontal="left" vertical="center" readingOrder="1"/>
    </xf>
    <xf numFmtId="0" fontId="1" fillId="0" borderId="0" xfId="0" applyFont="1" applyAlignment="1">
      <alignment horizontal="left" vertical="center" wrapText="1" readingOrder="1"/>
    </xf>
    <xf numFmtId="0" fontId="4" fillId="0" borderId="7" xfId="1" applyBorder="1"/>
    <xf numFmtId="0" fontId="4" fillId="0" borderId="8" xfId="1" applyBorder="1" applyAlignment="1">
      <alignment horizontal="center"/>
    </xf>
    <xf numFmtId="0" fontId="5" fillId="0" borderId="9" xfId="1" applyFont="1" applyBorder="1" applyProtection="1">
      <protection locked="0"/>
    </xf>
    <xf numFmtId="0" fontId="4" fillId="3" borderId="9" xfId="1" applyFill="1" applyBorder="1" applyAlignment="1" applyProtection="1">
      <alignment horizontal="center"/>
      <protection locked="0"/>
    </xf>
    <xf numFmtId="0" fontId="5" fillId="3" borderId="9" xfId="1" applyFont="1" applyFill="1" applyBorder="1" applyProtection="1">
      <protection locked="0"/>
    </xf>
    <xf numFmtId="0" fontId="4" fillId="0" borderId="4" xfId="1" applyBorder="1"/>
    <xf numFmtId="0" fontId="4" fillId="0" borderId="5" xfId="1" applyBorder="1"/>
    <xf numFmtId="0" fontId="4" fillId="4" borderId="9" xfId="1" applyFill="1" applyBorder="1" applyAlignment="1">
      <alignment horizontal="right"/>
    </xf>
    <xf numFmtId="0" fontId="4" fillId="0" borderId="10" xfId="1" applyBorder="1"/>
    <xf numFmtId="0" fontId="4" fillId="0" borderId="0" xfId="1"/>
    <xf numFmtId="0" fontId="8" fillId="0" borderId="8" xfId="1" applyFont="1" applyBorder="1" applyAlignment="1">
      <alignment horizontal="center"/>
    </xf>
    <xf numFmtId="2" fontId="5" fillId="3" borderId="9" xfId="1" applyNumberFormat="1" applyFont="1" applyFill="1" applyBorder="1" applyProtection="1">
      <protection locked="0"/>
    </xf>
    <xf numFmtId="0" fontId="4" fillId="0" borderId="6" xfId="1" applyBorder="1"/>
    <xf numFmtId="164" fontId="4" fillId="4" borderId="11" xfId="1" applyNumberFormat="1" applyFill="1" applyBorder="1"/>
    <xf numFmtId="164" fontId="4" fillId="0" borderId="6" xfId="1" applyNumberFormat="1" applyBorder="1"/>
    <xf numFmtId="2" fontId="4" fillId="0" borderId="6" xfId="1" applyNumberFormat="1" applyBorder="1" applyProtection="1">
      <protection locked="0"/>
    </xf>
    <xf numFmtId="2" fontId="4" fillId="0" borderId="6" xfId="1" applyNumberFormat="1" applyBorder="1"/>
    <xf numFmtId="0" fontId="0" fillId="0" borderId="16" xfId="0" applyBorder="1"/>
    <xf numFmtId="0" fontId="10" fillId="0" borderId="2" xfId="0" applyFont="1" applyBorder="1" applyAlignment="1">
      <alignment horizontal="center"/>
    </xf>
    <xf numFmtId="2" fontId="0" fillId="0" borderId="0" xfId="0" applyNumberFormat="1"/>
    <xf numFmtId="0" fontId="0" fillId="5" borderId="0" xfId="0" applyFill="1"/>
    <xf numFmtId="0" fontId="0" fillId="0" borderId="0" xfId="0" pivotButton="1"/>
    <xf numFmtId="0" fontId="0" fillId="0" borderId="0" xfId="0" applyAlignment="1">
      <alignment horizontal="left"/>
    </xf>
    <xf numFmtId="0" fontId="11" fillId="6" borderId="17" xfId="0" applyFont="1" applyFill="1" applyBorder="1"/>
    <xf numFmtId="0" fontId="12" fillId="7" borderId="0" xfId="0" applyFont="1" applyFill="1"/>
    <xf numFmtId="0" fontId="13" fillId="0" borderId="0" xfId="0" applyFont="1"/>
    <xf numFmtId="0" fontId="13" fillId="8" borderId="8" xfId="0" applyFont="1" applyFill="1" applyBorder="1" applyProtection="1">
      <protection locked="0"/>
    </xf>
    <xf numFmtId="0" fontId="13" fillId="9" borderId="8" xfId="0" applyFont="1" applyFill="1" applyBorder="1" applyAlignment="1" applyProtection="1">
      <alignment horizontal="center"/>
      <protection locked="0"/>
    </xf>
    <xf numFmtId="0" fontId="13" fillId="8" borderId="8" xfId="0" applyFont="1" applyFill="1" applyBorder="1" applyAlignment="1" applyProtection="1">
      <alignment horizontal="center"/>
      <protection locked="0"/>
    </xf>
    <xf numFmtId="0" fontId="13" fillId="9" borderId="8" xfId="0" applyFont="1" applyFill="1" applyBorder="1" applyProtection="1">
      <protection locked="0"/>
    </xf>
    <xf numFmtId="0" fontId="13" fillId="8" borderId="8" xfId="0" applyFont="1" applyFill="1" applyBorder="1"/>
    <xf numFmtId="164" fontId="13" fillId="0" borderId="0" xfId="0" applyNumberFormat="1" applyFont="1"/>
    <xf numFmtId="0" fontId="13" fillId="8" borderId="8" xfId="0" applyFont="1" applyFill="1" applyBorder="1" applyAlignment="1" applyProtection="1">
      <alignment horizontal="right"/>
      <protection locked="0"/>
    </xf>
    <xf numFmtId="0" fontId="13" fillId="8" borderId="8" xfId="0" applyFont="1" applyFill="1" applyBorder="1" applyAlignment="1">
      <alignment horizontal="center"/>
    </xf>
    <xf numFmtId="164" fontId="13" fillId="8" borderId="8" xfId="0" applyNumberFormat="1" applyFont="1" applyFill="1" applyBorder="1"/>
    <xf numFmtId="0" fontId="13" fillId="9" borderId="8" xfId="0" applyFont="1" applyFill="1" applyBorder="1"/>
    <xf numFmtId="0" fontId="13" fillId="0" borderId="8" xfId="0" applyFont="1" applyBorder="1"/>
    <xf numFmtId="0" fontId="12" fillId="0" borderId="0" xfId="0" applyFont="1"/>
    <xf numFmtId="0" fontId="13" fillId="10" borderId="8" xfId="0" applyFont="1" applyFill="1" applyBorder="1"/>
    <xf numFmtId="164" fontId="13" fillId="10" borderId="8" xfId="0" applyNumberFormat="1" applyFont="1" applyFill="1" applyBorder="1"/>
    <xf numFmtId="0" fontId="14" fillId="10" borderId="8" xfId="0" applyFont="1" applyFill="1" applyBorder="1"/>
    <xf numFmtId="0" fontId="16" fillId="0" borderId="0" xfId="0" applyFont="1"/>
    <xf numFmtId="0" fontId="12" fillId="7" borderId="0" xfId="0" applyFont="1" applyFill="1" applyAlignment="1">
      <alignment wrapText="1"/>
    </xf>
    <xf numFmtId="0" fontId="0" fillId="11" borderId="0" xfId="0" applyFill="1"/>
    <xf numFmtId="0" fontId="17" fillId="0" borderId="20" xfId="0" applyFont="1" applyBorder="1" applyAlignment="1">
      <alignment horizontal="right"/>
    </xf>
    <xf numFmtId="2" fontId="4" fillId="4" borderId="11" xfId="1" applyNumberFormat="1" applyFill="1" applyBorder="1"/>
    <xf numFmtId="2" fontId="4" fillId="4" borderId="6" xfId="1" applyNumberFormat="1" applyFill="1" applyBorder="1"/>
    <xf numFmtId="0" fontId="5" fillId="0" borderId="10" xfId="1" applyFont="1" applyBorder="1" applyAlignment="1">
      <alignment horizontal="center"/>
    </xf>
    <xf numFmtId="0" fontId="5" fillId="0" borderId="21" xfId="1" applyFont="1" applyBorder="1" applyAlignment="1">
      <alignment horizontal="center"/>
    </xf>
    <xf numFmtId="9" fontId="5" fillId="3" borderId="9" xfId="2" applyFont="1" applyFill="1" applyBorder="1" applyProtection="1">
      <protection locked="0"/>
    </xf>
    <xf numFmtId="0" fontId="5" fillId="0" borderId="10" xfId="1" applyFont="1" applyBorder="1"/>
    <xf numFmtId="9" fontId="5" fillId="0" borderId="21" xfId="2" applyFont="1" applyFill="1" applyBorder="1" applyProtection="1">
      <protection locked="0"/>
    </xf>
    <xf numFmtId="164" fontId="4" fillId="0" borderId="9" xfId="1" applyNumberFormat="1" applyBorder="1"/>
    <xf numFmtId="0" fontId="4" fillId="0" borderId="9" xfId="1" applyBorder="1"/>
    <xf numFmtId="0" fontId="9" fillId="0" borderId="7" xfId="1" applyFont="1" applyBorder="1"/>
    <xf numFmtId="0" fontId="4" fillId="0" borderId="22" xfId="1" applyBorder="1"/>
    <xf numFmtId="0" fontId="4" fillId="0" borderId="11" xfId="1" applyBorder="1"/>
    <xf numFmtId="2" fontId="5" fillId="4" borderId="9" xfId="1" applyNumberFormat="1" applyFont="1" applyFill="1" applyBorder="1"/>
    <xf numFmtId="0" fontId="4" fillId="0" borderId="23" xfId="1" applyBorder="1"/>
    <xf numFmtId="2" fontId="5" fillId="4" borderId="24" xfId="1" applyNumberFormat="1" applyFont="1" applyFill="1" applyBorder="1"/>
    <xf numFmtId="0" fontId="0" fillId="11" borderId="0" xfId="0" applyFill="1" applyAlignment="1">
      <alignment horizontal="center"/>
    </xf>
    <xf numFmtId="0" fontId="19" fillId="5" borderId="0" xfId="0" applyFont="1" applyFill="1"/>
    <xf numFmtId="0" fontId="0" fillId="0" borderId="0" xfId="0" applyAlignment="1">
      <alignment horizontal="right"/>
    </xf>
    <xf numFmtId="0" fontId="10" fillId="0" borderId="19" xfId="0" applyFont="1" applyBorder="1" applyAlignment="1">
      <alignment horizontal="center"/>
    </xf>
    <xf numFmtId="165" fontId="0" fillId="0" borderId="0" xfId="0" applyNumberFormat="1"/>
    <xf numFmtId="2" fontId="0" fillId="0" borderId="16" xfId="0" applyNumberFormat="1" applyBorder="1"/>
    <xf numFmtId="166" fontId="0" fillId="0" borderId="0" xfId="0" applyNumberFormat="1"/>
    <xf numFmtId="0" fontId="10" fillId="12" borderId="2" xfId="0" applyFont="1" applyFill="1" applyBorder="1" applyAlignment="1">
      <alignment horizontal="center"/>
    </xf>
    <xf numFmtId="0" fontId="0" fillId="13" borderId="0" xfId="0" applyFill="1"/>
    <xf numFmtId="0" fontId="20" fillId="13" borderId="0" xfId="0" applyFont="1" applyFill="1" applyAlignment="1">
      <alignment horizontal="center"/>
    </xf>
    <xf numFmtId="0" fontId="21" fillId="13" borderId="0" xfId="0" applyFont="1" applyFill="1"/>
    <xf numFmtId="0" fontId="10" fillId="13" borderId="19" xfId="0" applyFont="1" applyFill="1" applyBorder="1" applyAlignment="1">
      <alignment horizontal="centerContinuous"/>
    </xf>
    <xf numFmtId="2" fontId="20" fillId="0" borderId="0" xfId="0" applyNumberFormat="1" applyFont="1"/>
    <xf numFmtId="0" fontId="20" fillId="0" borderId="0" xfId="0" applyFont="1"/>
    <xf numFmtId="2" fontId="13" fillId="0" borderId="8" xfId="0" applyNumberFormat="1" applyFont="1" applyBorder="1"/>
    <xf numFmtId="2" fontId="13" fillId="10" borderId="8" xfId="0" applyNumberFormat="1" applyFont="1" applyFill="1" applyBorder="1"/>
    <xf numFmtId="2" fontId="13" fillId="8" borderId="8" xfId="0" applyNumberFormat="1" applyFont="1" applyFill="1" applyBorder="1"/>
    <xf numFmtId="2" fontId="13" fillId="0" borderId="0" xfId="0" applyNumberFormat="1" applyFont="1"/>
    <xf numFmtId="0" fontId="4" fillId="0" borderId="4" xfId="1" applyBorder="1" applyAlignment="1">
      <alignment horizontal="center"/>
    </xf>
    <xf numFmtId="0" fontId="4" fillId="0" borderId="5" xfId="1" applyBorder="1" applyAlignment="1">
      <alignment horizontal="center"/>
    </xf>
    <xf numFmtId="0" fontId="4" fillId="0" borderId="6" xfId="1" applyBorder="1" applyAlignment="1">
      <alignment horizontal="center"/>
    </xf>
    <xf numFmtId="0" fontId="4" fillId="0" borderId="4" xfId="1" applyBorder="1" applyAlignment="1">
      <alignment horizontal="left"/>
    </xf>
    <xf numFmtId="0" fontId="4" fillId="0" borderId="5" xfId="1" applyBorder="1" applyAlignment="1">
      <alignment horizontal="left"/>
    </xf>
    <xf numFmtId="0" fontId="4" fillId="0" borderId="12" xfId="1" applyBorder="1" applyAlignment="1">
      <alignment horizontal="left"/>
    </xf>
    <xf numFmtId="0" fontId="4" fillId="4" borderId="13" xfId="1" applyFill="1" applyBorder="1" applyAlignment="1">
      <alignment horizontal="left"/>
    </xf>
    <xf numFmtId="0" fontId="4" fillId="4" borderId="14" xfId="1" applyFill="1" applyBorder="1" applyAlignment="1">
      <alignment horizontal="left"/>
    </xf>
    <xf numFmtId="0" fontId="4" fillId="4" borderId="15" xfId="1" applyFill="1" applyBorder="1" applyAlignment="1">
      <alignment horizontal="left"/>
    </xf>
    <xf numFmtId="0" fontId="4" fillId="0" borderId="7" xfId="1" applyBorder="1" applyAlignment="1">
      <alignment horizontal="left"/>
    </xf>
    <xf numFmtId="0" fontId="4" fillId="0" borderId="8" xfId="1" applyBorder="1" applyAlignment="1">
      <alignment horizontal="left"/>
    </xf>
    <xf numFmtId="0" fontId="9" fillId="0" borderId="7" xfId="1" applyFont="1" applyBorder="1" applyAlignment="1">
      <alignment horizontal="left"/>
    </xf>
    <xf numFmtId="0" fontId="9" fillId="0" borderId="8" xfId="1" applyFont="1" applyBorder="1" applyAlignment="1">
      <alignment horizontal="left"/>
    </xf>
    <xf numFmtId="0" fontId="5" fillId="2" borderId="4" xfId="1" applyFont="1" applyFill="1" applyBorder="1" applyAlignment="1">
      <alignment horizontal="center"/>
    </xf>
    <xf numFmtId="0" fontId="5" fillId="2" borderId="5" xfId="1" applyFont="1" applyFill="1" applyBorder="1" applyAlignment="1">
      <alignment horizontal="center"/>
    </xf>
    <xf numFmtId="0" fontId="5" fillId="2" borderId="6" xfId="1" applyFont="1" applyFill="1" applyBorder="1" applyAlignment="1">
      <alignment horizontal="center"/>
    </xf>
    <xf numFmtId="0" fontId="5" fillId="2" borderId="1" xfId="1" applyFont="1" applyFill="1" applyBorder="1" applyAlignment="1">
      <alignment horizontal="center"/>
    </xf>
    <xf numFmtId="0" fontId="5" fillId="2" borderId="2" xfId="1" applyFont="1" applyFill="1" applyBorder="1" applyAlignment="1">
      <alignment horizontal="center"/>
    </xf>
    <xf numFmtId="0" fontId="5" fillId="2" borderId="3" xfId="1" applyFont="1" applyFill="1" applyBorder="1" applyAlignment="1">
      <alignment horizontal="center"/>
    </xf>
    <xf numFmtId="0" fontId="5" fillId="0" borderId="4" xfId="1" applyFont="1" applyBorder="1" applyAlignment="1">
      <alignment horizontal="center"/>
    </xf>
    <xf numFmtId="0" fontId="5" fillId="0" borderId="5" xfId="1" applyFont="1" applyBorder="1" applyAlignment="1">
      <alignment horizontal="center"/>
    </xf>
    <xf numFmtId="0" fontId="5" fillId="0" borderId="6" xfId="1" applyFont="1" applyBorder="1" applyAlignment="1">
      <alignment horizontal="center"/>
    </xf>
    <xf numFmtId="0" fontId="5" fillId="0" borderId="4" xfId="1" applyFont="1" applyBorder="1" applyAlignment="1">
      <alignment horizontal="left"/>
    </xf>
    <xf numFmtId="0" fontId="5" fillId="0" borderId="5" xfId="1" applyFont="1" applyBorder="1" applyAlignment="1">
      <alignment horizontal="left"/>
    </xf>
    <xf numFmtId="0" fontId="5" fillId="0" borderId="6" xfId="1" applyFont="1" applyBorder="1" applyAlignment="1">
      <alignment horizontal="left"/>
    </xf>
    <xf numFmtId="0" fontId="18" fillId="5" borderId="16" xfId="0" applyFont="1" applyFill="1" applyBorder="1" applyAlignment="1">
      <alignment horizontal="center"/>
    </xf>
    <xf numFmtId="0" fontId="13" fillId="0" borderId="19" xfId="0" applyFont="1" applyBorder="1" applyAlignment="1">
      <alignment horizontal="center"/>
    </xf>
    <xf numFmtId="0" fontId="12" fillId="5" borderId="8" xfId="0" applyFont="1" applyFill="1" applyBorder="1" applyAlignment="1" applyProtection="1">
      <alignment horizontal="center"/>
      <protection locked="0"/>
    </xf>
    <xf numFmtId="0" fontId="13" fillId="9" borderId="18" xfId="0" applyFont="1" applyFill="1" applyBorder="1" applyAlignment="1" applyProtection="1">
      <alignment horizontal="center"/>
      <protection locked="0"/>
    </xf>
    <xf numFmtId="0" fontId="13" fillId="9" borderId="5" xfId="0" applyFont="1" applyFill="1" applyBorder="1" applyAlignment="1" applyProtection="1">
      <alignment horizontal="center"/>
      <protection locked="0"/>
    </xf>
    <xf numFmtId="0" fontId="13" fillId="9" borderId="12" xfId="0" applyFont="1" applyFill="1" applyBorder="1" applyAlignment="1" applyProtection="1">
      <alignment horizontal="center"/>
      <protection locked="0"/>
    </xf>
    <xf numFmtId="0" fontId="13" fillId="8" borderId="8" xfId="0" applyFont="1" applyFill="1" applyBorder="1" applyAlignment="1" applyProtection="1">
      <alignment horizontal="center"/>
      <protection locked="0"/>
    </xf>
    <xf numFmtId="0" fontId="13" fillId="8" borderId="18" xfId="0" applyFont="1" applyFill="1" applyBorder="1" applyAlignment="1">
      <alignment horizontal="center"/>
    </xf>
    <xf numFmtId="0" fontId="13" fillId="8" borderId="5" xfId="0" applyFont="1" applyFill="1" applyBorder="1" applyAlignment="1">
      <alignment horizontal="center"/>
    </xf>
    <xf numFmtId="0" fontId="13" fillId="8" borderId="12" xfId="0" applyFont="1" applyFill="1" applyBorder="1" applyAlignment="1">
      <alignment horizontal="center"/>
    </xf>
    <xf numFmtId="0" fontId="12" fillId="9" borderId="8" xfId="0" applyFont="1" applyFill="1" applyBorder="1" applyAlignment="1">
      <alignment horizontal="center"/>
    </xf>
    <xf numFmtId="0" fontId="12" fillId="10" borderId="8" xfId="0" applyFont="1" applyFill="1" applyBorder="1" applyAlignment="1">
      <alignment horizontal="center"/>
    </xf>
    <xf numFmtId="0" fontId="13" fillId="10" borderId="18" xfId="0" applyFont="1" applyFill="1" applyBorder="1" applyAlignment="1">
      <alignment horizontal="center"/>
    </xf>
    <xf numFmtId="0" fontId="13" fillId="10" borderId="12" xfId="0" applyFont="1" applyFill="1" applyBorder="1" applyAlignment="1">
      <alignment horizontal="center"/>
    </xf>
    <xf numFmtId="0" fontId="13" fillId="0" borderId="8" xfId="0" applyFont="1" applyBorder="1" applyAlignment="1">
      <alignment horizontal="center"/>
    </xf>
    <xf numFmtId="0" fontId="0" fillId="13" borderId="16" xfId="0" applyFill="1" applyBorder="1" applyAlignment="1">
      <alignment horizontal="center"/>
    </xf>
    <xf numFmtId="0" fontId="22" fillId="0" borderId="0" xfId="0" applyFont="1" applyAlignment="1">
      <alignment horizontal="center"/>
    </xf>
    <xf numFmtId="0" fontId="12" fillId="8" borderId="8" xfId="0" applyFont="1" applyFill="1" applyBorder="1" applyAlignment="1" applyProtection="1">
      <alignment horizontal="center"/>
      <protection locked="0"/>
    </xf>
    <xf numFmtId="2" fontId="13" fillId="0" borderId="8" xfId="0" applyNumberFormat="1" applyFont="1" applyBorder="1" applyAlignment="1">
      <alignment horizontal="center"/>
    </xf>
  </cellXfs>
  <cellStyles count="3">
    <cellStyle name="Normal" xfId="0" builtinId="0"/>
    <cellStyle name="Normal 3 2" xfId="1" xr:uid="{0B636634-0EC4-3343-99AE-388536BC28F8}"/>
    <cellStyle name="Percent 2" xfId="2" xr:uid="{98041528-D247-D341-8A8F-2BC663895C75}"/>
  </cellStyles>
  <dxfs count="47">
    <dxf>
      <fill>
        <patternFill>
          <bgColor rgb="FF92D050"/>
        </patternFill>
      </fill>
    </dxf>
    <dxf>
      <fill>
        <patternFill>
          <bgColor rgb="FF92D050"/>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7"/>
        </patternFill>
      </fill>
      <alignment horizontal="center" vertical="bottom" textRotation="0" wrapText="0" indent="0" justifyLastLine="0" shrinkToFit="0" readingOrder="0"/>
    </dxf>
    <dxf>
      <numFmt numFmtId="2" formatCode="0.00"/>
      <fill>
        <patternFill patternType="none">
          <fgColor indexed="64"/>
          <bgColor indexed="65"/>
        </patternFill>
      </fill>
      <alignment horizontal="general" vertical="bottom" textRotation="0" wrapText="0" indent="0" justifyLastLine="0" shrinkToFit="0" readingOrder="0"/>
    </dxf>
    <dxf>
      <numFmt numFmtId="2" formatCode="0.00"/>
      <fill>
        <patternFill patternType="none">
          <fgColor indexed="64"/>
          <bgColor indexed="65"/>
        </patternFill>
      </fill>
      <alignment horizontal="general" vertical="bottom" textRotation="0" wrapText="0" indent="0" justifyLastLine="0" shrinkToFit="0" readingOrder="0"/>
    </dxf>
    <dxf>
      <numFmt numFmtId="2" formatCode="0.00"/>
      <fill>
        <patternFill patternType="none">
          <fgColor indexed="64"/>
          <bgColor indexed="65"/>
        </patternFill>
      </fill>
      <alignment horizontal="general" vertical="bottom" textRotation="0" wrapText="0" indent="0" justifyLastLine="0" shrinkToFit="0" readingOrder="0"/>
    </dxf>
    <dxf>
      <numFmt numFmtId="2" formatCode="0.00"/>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1"/>
        <color theme="1"/>
        <name val="Aptos Narrow"/>
        <family val="2"/>
        <scheme val="minor"/>
      </font>
      <fill>
        <patternFill patternType="solid">
          <fgColor indexed="64"/>
          <bgColor theme="7"/>
        </patternFill>
      </fill>
    </dxf>
    <dxf>
      <fill>
        <patternFill patternType="solid">
          <fgColor indexed="64"/>
          <bgColor theme="4" tint="0.39997558519241921"/>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Aptos Narrow"/>
        <family val="2"/>
        <scheme val="minor"/>
      </font>
      <fill>
        <patternFill patternType="solid">
          <fgColor indexed="64"/>
          <bgColor theme="4" tint="0.39997558519241921"/>
        </patternFill>
      </fill>
      <alignment horizontal="centerContinuous" vertical="bottom"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Monthly Income Comparison by Marital Status</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lotArea>
      <c:layout/>
      <c:barChart>
        <c:barDir val="col"/>
        <c:grouping val="stacked"/>
        <c:varyColors val="0"/>
        <c:ser>
          <c:idx val="0"/>
          <c:order val="0"/>
          <c:tx>
            <c:strRef>
              <c:f>'1.2 TASK'!$A$1</c:f>
              <c:strCache>
                <c:ptCount val="1"/>
                <c:pt idx="0">
                  <c:v>MonthlyIncome(Married)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'1.2 TASK'!$A$2:$A$49</c:f>
              <c:numCache>
                <c:formatCode>General</c:formatCode>
                <c:ptCount val="48"/>
                <c:pt idx="0">
                  <c:v>5130</c:v>
                </c:pt>
                <c:pt idx="1">
                  <c:v>2909</c:v>
                </c:pt>
                <c:pt idx="2">
                  <c:v>3468</c:v>
                </c:pt>
                <c:pt idx="3">
                  <c:v>2670</c:v>
                </c:pt>
                <c:pt idx="4">
                  <c:v>2426</c:v>
                </c:pt>
                <c:pt idx="5">
                  <c:v>2293</c:v>
                </c:pt>
                <c:pt idx="6">
                  <c:v>3419</c:v>
                </c:pt>
                <c:pt idx="7">
                  <c:v>19545</c:v>
                </c:pt>
                <c:pt idx="8">
                  <c:v>3022</c:v>
                </c:pt>
                <c:pt idx="9">
                  <c:v>2269</c:v>
                </c:pt>
                <c:pt idx="10">
                  <c:v>4014</c:v>
                </c:pt>
                <c:pt idx="11">
                  <c:v>2194</c:v>
                </c:pt>
                <c:pt idx="12">
                  <c:v>3388</c:v>
                </c:pt>
                <c:pt idx="13">
                  <c:v>2703</c:v>
                </c:pt>
                <c:pt idx="14">
                  <c:v>6220</c:v>
                </c:pt>
                <c:pt idx="15">
                  <c:v>3038</c:v>
                </c:pt>
                <c:pt idx="16">
                  <c:v>13245</c:v>
                </c:pt>
                <c:pt idx="17">
                  <c:v>5126</c:v>
                </c:pt>
                <c:pt idx="18">
                  <c:v>2075</c:v>
                </c:pt>
                <c:pt idx="19">
                  <c:v>13549</c:v>
                </c:pt>
                <c:pt idx="20">
                  <c:v>2042</c:v>
                </c:pt>
                <c:pt idx="21">
                  <c:v>18172</c:v>
                </c:pt>
                <c:pt idx="22">
                  <c:v>2889</c:v>
                </c:pt>
                <c:pt idx="23">
                  <c:v>2774</c:v>
                </c:pt>
                <c:pt idx="24">
                  <c:v>4963</c:v>
                </c:pt>
                <c:pt idx="25">
                  <c:v>2368</c:v>
                </c:pt>
                <c:pt idx="26">
                  <c:v>3346</c:v>
                </c:pt>
                <c:pt idx="27">
                  <c:v>3058</c:v>
                </c:pt>
                <c:pt idx="28">
                  <c:v>3929</c:v>
                </c:pt>
                <c:pt idx="29">
                  <c:v>3564</c:v>
                </c:pt>
                <c:pt idx="30">
                  <c:v>2741</c:v>
                </c:pt>
                <c:pt idx="31">
                  <c:v>12490</c:v>
                </c:pt>
                <c:pt idx="32">
                  <c:v>2436</c:v>
                </c:pt>
                <c:pt idx="33">
                  <c:v>17584</c:v>
                </c:pt>
                <c:pt idx="34">
                  <c:v>5415</c:v>
                </c:pt>
                <c:pt idx="35">
                  <c:v>12061</c:v>
                </c:pt>
                <c:pt idx="36">
                  <c:v>18300</c:v>
                </c:pt>
                <c:pt idx="37">
                  <c:v>2119</c:v>
                </c:pt>
                <c:pt idx="38">
                  <c:v>2213</c:v>
                </c:pt>
                <c:pt idx="39">
                  <c:v>19406</c:v>
                </c:pt>
                <c:pt idx="40">
                  <c:v>11935</c:v>
                </c:pt>
                <c:pt idx="41">
                  <c:v>17861</c:v>
                </c:pt>
                <c:pt idx="42">
                  <c:v>14814</c:v>
                </c:pt>
                <c:pt idx="43">
                  <c:v>11416</c:v>
                </c:pt>
                <c:pt idx="44">
                  <c:v>19237</c:v>
                </c:pt>
                <c:pt idx="45">
                  <c:v>13191</c:v>
                </c:pt>
                <c:pt idx="46">
                  <c:v>16880</c:v>
                </c:pt>
                <c:pt idx="47">
                  <c:v>19701</c:v>
                </c:pt>
              </c:numCache>
            </c:numRef>
          </c:val>
          <c:extLst>
            <c:ext xmlns:c16="http://schemas.microsoft.com/office/drawing/2014/chart" uri="{C3380CC4-5D6E-409C-BE32-E72D297353CC}">
              <c16:uniqueId val="{00000000-3DDB-354A-82AA-C25C4327FC51}"/>
            </c:ext>
          </c:extLst>
        </c:ser>
        <c:ser>
          <c:idx val="1"/>
          <c:order val="1"/>
          <c:tx>
            <c:strRef>
              <c:f>'1.2 TASK'!$B$1</c:f>
              <c:strCache>
                <c:ptCount val="1"/>
                <c:pt idx="0">
                  <c:v>MonthlyIncome(Divorced)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'1.2 TASK'!$B$2:$B$49</c:f>
              <c:numCache>
                <c:formatCode>General</c:formatCode>
                <c:ptCount val="48"/>
                <c:pt idx="0">
                  <c:v>2693</c:v>
                </c:pt>
                <c:pt idx="1">
                  <c:v>2911</c:v>
                </c:pt>
                <c:pt idx="2">
                  <c:v>2661</c:v>
                </c:pt>
                <c:pt idx="3">
                  <c:v>3298</c:v>
                </c:pt>
                <c:pt idx="4">
                  <c:v>2935</c:v>
                </c:pt>
                <c:pt idx="5">
                  <c:v>2645</c:v>
                </c:pt>
                <c:pt idx="6">
                  <c:v>1951</c:v>
                </c:pt>
                <c:pt idx="7">
                  <c:v>2341</c:v>
                </c:pt>
                <c:pt idx="8">
                  <c:v>5915</c:v>
                </c:pt>
                <c:pt idx="9">
                  <c:v>18740</c:v>
                </c:pt>
                <c:pt idx="10">
                  <c:v>9724</c:v>
                </c:pt>
                <c:pt idx="11">
                  <c:v>5329</c:v>
                </c:pt>
                <c:pt idx="12">
                  <c:v>4505</c:v>
                </c:pt>
                <c:pt idx="13">
                  <c:v>2835</c:v>
                </c:pt>
                <c:pt idx="14">
                  <c:v>2613</c:v>
                </c:pt>
                <c:pt idx="15">
                  <c:v>2566</c:v>
                </c:pt>
                <c:pt idx="16">
                  <c:v>4257</c:v>
                </c:pt>
                <c:pt idx="17">
                  <c:v>3815</c:v>
                </c:pt>
                <c:pt idx="18">
                  <c:v>2328</c:v>
                </c:pt>
                <c:pt idx="19">
                  <c:v>12185</c:v>
                </c:pt>
                <c:pt idx="20">
                  <c:v>13675</c:v>
                </c:pt>
                <c:pt idx="21">
                  <c:v>2593</c:v>
                </c:pt>
                <c:pt idx="22">
                  <c:v>19436</c:v>
                </c:pt>
                <c:pt idx="23">
                  <c:v>13603</c:v>
                </c:pt>
                <c:pt idx="24">
                  <c:v>19144</c:v>
                </c:pt>
                <c:pt idx="25">
                  <c:v>3161</c:v>
                </c:pt>
                <c:pt idx="26">
                  <c:v>2373</c:v>
                </c:pt>
                <c:pt idx="27">
                  <c:v>11510</c:v>
                </c:pt>
                <c:pt idx="28">
                  <c:v>14336</c:v>
                </c:pt>
                <c:pt idx="29">
                  <c:v>16184</c:v>
                </c:pt>
                <c:pt idx="30">
                  <c:v>19502</c:v>
                </c:pt>
                <c:pt idx="31">
                  <c:v>16627</c:v>
                </c:pt>
                <c:pt idx="32">
                  <c:v>12808</c:v>
                </c:pt>
                <c:pt idx="33">
                  <c:v>19049</c:v>
                </c:pt>
              </c:numCache>
            </c:numRef>
          </c:val>
          <c:extLst>
            <c:ext xmlns:c16="http://schemas.microsoft.com/office/drawing/2014/chart" uri="{C3380CC4-5D6E-409C-BE32-E72D297353CC}">
              <c16:uniqueId val="{00000001-3DDB-354A-82AA-C25C4327FC51}"/>
            </c:ext>
          </c:extLst>
        </c:ser>
        <c:ser>
          <c:idx val="2"/>
          <c:order val="2"/>
          <c:tx>
            <c:strRef>
              <c:f>'1.2 TASK'!$C$1</c:f>
              <c:strCache>
                <c:ptCount val="1"/>
                <c:pt idx="0">
                  <c:v>MonthlyIncome(Single)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'1.2 TASK'!$C$2:$C$49</c:f>
              <c:numCache>
                <c:formatCode>General</c:formatCode>
                <c:ptCount val="48"/>
                <c:pt idx="0">
                  <c:v>2090</c:v>
                </c:pt>
                <c:pt idx="1">
                  <c:v>3068</c:v>
                </c:pt>
                <c:pt idx="2">
                  <c:v>4193</c:v>
                </c:pt>
                <c:pt idx="3">
                  <c:v>2028</c:v>
                </c:pt>
                <c:pt idx="4">
                  <c:v>3944</c:v>
                </c:pt>
                <c:pt idx="5">
                  <c:v>11994</c:v>
                </c:pt>
                <c:pt idx="6">
                  <c:v>1232</c:v>
                </c:pt>
                <c:pt idx="7">
                  <c:v>2960</c:v>
                </c:pt>
                <c:pt idx="8">
                  <c:v>3919</c:v>
                </c:pt>
                <c:pt idx="9">
                  <c:v>2496</c:v>
                </c:pt>
                <c:pt idx="10">
                  <c:v>2206</c:v>
                </c:pt>
                <c:pt idx="11">
                  <c:v>2293</c:v>
                </c:pt>
                <c:pt idx="12">
                  <c:v>4011</c:v>
                </c:pt>
                <c:pt idx="13">
                  <c:v>5381</c:v>
                </c:pt>
                <c:pt idx="14">
                  <c:v>3441</c:v>
                </c:pt>
                <c:pt idx="15">
                  <c:v>13458</c:v>
                </c:pt>
                <c:pt idx="16">
                  <c:v>2406</c:v>
                </c:pt>
                <c:pt idx="17">
                  <c:v>2501</c:v>
                </c:pt>
                <c:pt idx="18">
                  <c:v>13664</c:v>
                </c:pt>
                <c:pt idx="19">
                  <c:v>2859</c:v>
                </c:pt>
                <c:pt idx="20">
                  <c:v>2956</c:v>
                </c:pt>
                <c:pt idx="21">
                  <c:v>2926</c:v>
                </c:pt>
                <c:pt idx="22">
                  <c:v>4809</c:v>
                </c:pt>
                <c:pt idx="23">
                  <c:v>2871</c:v>
                </c:pt>
                <c:pt idx="24">
                  <c:v>6074</c:v>
                </c:pt>
                <c:pt idx="25">
                  <c:v>19537</c:v>
                </c:pt>
                <c:pt idx="26">
                  <c:v>4739</c:v>
                </c:pt>
                <c:pt idx="27">
                  <c:v>3452</c:v>
                </c:pt>
                <c:pt idx="28">
                  <c:v>4317</c:v>
                </c:pt>
                <c:pt idx="29">
                  <c:v>18722</c:v>
                </c:pt>
                <c:pt idx="30">
                  <c:v>2657</c:v>
                </c:pt>
                <c:pt idx="31">
                  <c:v>2389</c:v>
                </c:pt>
                <c:pt idx="32">
                  <c:v>3730</c:v>
                </c:pt>
                <c:pt idx="33">
                  <c:v>18665</c:v>
                </c:pt>
                <c:pt idx="34">
                  <c:v>15992</c:v>
                </c:pt>
                <c:pt idx="35">
                  <c:v>11159</c:v>
                </c:pt>
                <c:pt idx="36">
                  <c:v>19246</c:v>
                </c:pt>
                <c:pt idx="37">
                  <c:v>14411</c:v>
                </c:pt>
              </c:numCache>
            </c:numRef>
          </c:val>
          <c:extLst>
            <c:ext xmlns:c16="http://schemas.microsoft.com/office/drawing/2014/chart" uri="{C3380CC4-5D6E-409C-BE32-E72D297353CC}">
              <c16:uniqueId val="{00000002-3DDB-354A-82AA-C25C4327FC51}"/>
            </c:ext>
          </c:extLst>
        </c:ser>
        <c:dLbls>
          <c:showLegendKey val="0"/>
          <c:showVal val="0"/>
          <c:showCatName val="0"/>
          <c:showSerName val="0"/>
          <c:showPercent val="0"/>
          <c:showBubbleSize val="0"/>
        </c:dLbls>
        <c:gapWidth val="150"/>
        <c:overlap val="100"/>
        <c:axId val="517357087"/>
        <c:axId val="517358799"/>
      </c:barChart>
      <c:catAx>
        <c:axId val="5173570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Employee Index</a:t>
                </a:r>
                <a:endParaRPr lang="en-GB"/>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GB"/>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358799"/>
        <c:crosses val="autoZero"/>
        <c:auto val="1"/>
        <c:lblAlgn val="ctr"/>
        <c:lblOffset val="100"/>
        <c:noMultiLvlLbl val="0"/>
      </c:catAx>
      <c:valAx>
        <c:axId val="51735879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Monthly Income (in AUD)</a:t>
                </a:r>
                <a:endParaRPr lang="en-GB"/>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357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Job Satisfaction Comparison: 2023 vs 2024</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lotArea>
      <c:layout/>
      <c:barChart>
        <c:barDir val="col"/>
        <c:grouping val="clustered"/>
        <c:varyColors val="0"/>
        <c:ser>
          <c:idx val="0"/>
          <c:order val="0"/>
          <c:tx>
            <c:strRef>
              <c:f>'2.2 TASK'!$B$1</c:f>
              <c:strCache>
                <c:ptCount val="1"/>
                <c:pt idx="0">
                  <c:v>JobSatisfaction_2023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'2.2 TASK'!$B$2:$B$31</c:f>
              <c:numCache>
                <c:formatCode>General</c:formatCode>
                <c:ptCount val="30"/>
                <c:pt idx="0">
                  <c:v>2</c:v>
                </c:pt>
                <c:pt idx="1">
                  <c:v>2</c:v>
                </c:pt>
                <c:pt idx="2">
                  <c:v>4</c:v>
                </c:pt>
                <c:pt idx="3">
                  <c:v>2</c:v>
                </c:pt>
                <c:pt idx="4">
                  <c:v>2</c:v>
                </c:pt>
                <c:pt idx="5">
                  <c:v>3</c:v>
                </c:pt>
                <c:pt idx="6">
                  <c:v>2</c:v>
                </c:pt>
                <c:pt idx="7">
                  <c:v>4</c:v>
                </c:pt>
                <c:pt idx="8">
                  <c:v>1</c:v>
                </c:pt>
                <c:pt idx="9">
                  <c:v>4</c:v>
                </c:pt>
                <c:pt idx="10">
                  <c:v>3</c:v>
                </c:pt>
                <c:pt idx="11">
                  <c:v>2</c:v>
                </c:pt>
                <c:pt idx="12">
                  <c:v>1</c:v>
                </c:pt>
                <c:pt idx="13">
                  <c:v>4</c:v>
                </c:pt>
                <c:pt idx="14">
                  <c:v>3</c:v>
                </c:pt>
                <c:pt idx="15">
                  <c:v>3</c:v>
                </c:pt>
                <c:pt idx="16">
                  <c:v>3</c:v>
                </c:pt>
                <c:pt idx="17">
                  <c:v>1</c:v>
                </c:pt>
                <c:pt idx="18">
                  <c:v>2</c:v>
                </c:pt>
                <c:pt idx="19">
                  <c:v>2</c:v>
                </c:pt>
                <c:pt idx="20">
                  <c:v>4</c:v>
                </c:pt>
                <c:pt idx="21">
                  <c:v>3</c:v>
                </c:pt>
                <c:pt idx="22">
                  <c:v>2</c:v>
                </c:pt>
                <c:pt idx="23">
                  <c:v>1</c:v>
                </c:pt>
                <c:pt idx="24">
                  <c:v>2</c:v>
                </c:pt>
                <c:pt idx="25">
                  <c:v>2</c:v>
                </c:pt>
                <c:pt idx="26">
                  <c:v>3</c:v>
                </c:pt>
                <c:pt idx="27">
                  <c:v>3</c:v>
                </c:pt>
                <c:pt idx="28">
                  <c:v>4</c:v>
                </c:pt>
                <c:pt idx="29">
                  <c:v>3</c:v>
                </c:pt>
              </c:numCache>
            </c:numRef>
          </c:val>
          <c:extLst>
            <c:ext xmlns:c16="http://schemas.microsoft.com/office/drawing/2014/chart" uri="{C3380CC4-5D6E-409C-BE32-E72D297353CC}">
              <c16:uniqueId val="{00000000-B4DD-CE42-9ED3-7306D8B0FC8B}"/>
            </c:ext>
          </c:extLst>
        </c:ser>
        <c:ser>
          <c:idx val="1"/>
          <c:order val="1"/>
          <c:tx>
            <c:strRef>
              <c:f>'2.2 TASK'!$C$1</c:f>
              <c:strCache>
                <c:ptCount val="1"/>
                <c:pt idx="0">
                  <c:v>JobSatisfaction_2024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'2.2 TASK'!$C$2:$C$31</c:f>
              <c:numCache>
                <c:formatCode>General</c:formatCode>
                <c:ptCount val="30"/>
                <c:pt idx="0">
                  <c:v>2</c:v>
                </c:pt>
                <c:pt idx="1">
                  <c:v>2</c:v>
                </c:pt>
                <c:pt idx="2">
                  <c:v>4</c:v>
                </c:pt>
                <c:pt idx="3">
                  <c:v>2</c:v>
                </c:pt>
                <c:pt idx="4">
                  <c:v>2</c:v>
                </c:pt>
                <c:pt idx="5">
                  <c:v>4</c:v>
                </c:pt>
                <c:pt idx="6">
                  <c:v>2</c:v>
                </c:pt>
                <c:pt idx="7">
                  <c:v>4</c:v>
                </c:pt>
                <c:pt idx="8">
                  <c:v>1</c:v>
                </c:pt>
                <c:pt idx="9">
                  <c:v>4</c:v>
                </c:pt>
                <c:pt idx="10">
                  <c:v>3</c:v>
                </c:pt>
                <c:pt idx="11">
                  <c:v>2</c:v>
                </c:pt>
                <c:pt idx="12">
                  <c:v>1</c:v>
                </c:pt>
                <c:pt idx="13">
                  <c:v>4</c:v>
                </c:pt>
                <c:pt idx="14">
                  <c:v>3</c:v>
                </c:pt>
                <c:pt idx="15">
                  <c:v>3</c:v>
                </c:pt>
                <c:pt idx="16">
                  <c:v>3</c:v>
                </c:pt>
                <c:pt idx="17">
                  <c:v>1</c:v>
                </c:pt>
                <c:pt idx="18">
                  <c:v>3</c:v>
                </c:pt>
                <c:pt idx="19">
                  <c:v>2</c:v>
                </c:pt>
                <c:pt idx="20">
                  <c:v>4</c:v>
                </c:pt>
                <c:pt idx="21">
                  <c:v>3</c:v>
                </c:pt>
                <c:pt idx="22">
                  <c:v>3</c:v>
                </c:pt>
                <c:pt idx="23">
                  <c:v>2</c:v>
                </c:pt>
                <c:pt idx="24">
                  <c:v>2</c:v>
                </c:pt>
                <c:pt idx="25">
                  <c:v>2</c:v>
                </c:pt>
                <c:pt idx="26">
                  <c:v>4</c:v>
                </c:pt>
                <c:pt idx="27">
                  <c:v>3</c:v>
                </c:pt>
                <c:pt idx="28">
                  <c:v>4</c:v>
                </c:pt>
                <c:pt idx="29">
                  <c:v>3</c:v>
                </c:pt>
              </c:numCache>
            </c:numRef>
          </c:val>
          <c:extLst>
            <c:ext xmlns:c16="http://schemas.microsoft.com/office/drawing/2014/chart" uri="{C3380CC4-5D6E-409C-BE32-E72D297353CC}">
              <c16:uniqueId val="{00000001-B4DD-CE42-9ED3-7306D8B0FC8B}"/>
            </c:ext>
          </c:extLst>
        </c:ser>
        <c:dLbls>
          <c:showLegendKey val="0"/>
          <c:showVal val="0"/>
          <c:showCatName val="0"/>
          <c:showSerName val="0"/>
          <c:showPercent val="0"/>
          <c:showBubbleSize val="0"/>
        </c:dLbls>
        <c:gapWidth val="100"/>
        <c:overlap val="-24"/>
        <c:axId val="369341759"/>
        <c:axId val="369343471"/>
      </c:barChart>
      <c:catAx>
        <c:axId val="36934175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Participant ID</a:t>
                </a:r>
                <a:endParaRPr lang="en-GB"/>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GB"/>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9343471"/>
        <c:crosses val="autoZero"/>
        <c:auto val="1"/>
        <c:lblAlgn val="ctr"/>
        <c:lblOffset val="100"/>
        <c:noMultiLvlLbl val="0"/>
      </c:catAx>
      <c:valAx>
        <c:axId val="36934347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Job Satisfaction Score (1 to 4)</a:t>
                </a:r>
                <a:endParaRPr lang="en-GB"/>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9341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_xlchart.v1.1</cx:f>
      </cx:numDim>
    </cx:data>
    <cx:data id="1">
      <cx:strDim type="cat">
        <cx:f>_xlchart.v1.4</cx:f>
      </cx:strDim>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IN" b="1"/>
              <a:t>Comparison of Monthly Income by Gender at IBM</a:t>
            </a:r>
            <a:endParaRPr lang="en-GB" sz="1400" b="1" i="0" u="none" strike="noStrike" baseline="0">
              <a:solidFill>
                <a:sysClr val="windowText" lastClr="000000">
                  <a:lumMod val="65000"/>
                  <a:lumOff val="35000"/>
                </a:sysClr>
              </a:solidFill>
              <a:latin typeface="Aptos Narrow" panose="02110004020202020204"/>
            </a:endParaRPr>
          </a:p>
        </cx:rich>
      </cx:tx>
      <cx:spPr>
        <a:solidFill>
          <a:schemeClr val="accent2"/>
        </a:solidFill>
      </cx:spPr>
    </cx:title>
    <cx:plotArea>
      <cx:plotAreaRegion>
        <cx:series layoutId="boxWhisker" uniqueId="{7EEF7629-61D9-FD4C-AD07-EC7DEC2063F3}">
          <cx:tx>
            <cx:txData>
              <cx:f>_xlchart.v1.0</cx:f>
              <cx:v>MonthlyIncome(Female)</cx:v>
            </cx:txData>
          </cx:tx>
          <cx:dataId val="0"/>
          <cx:layoutPr>
            <cx:visibility meanLine="1" meanMarker="1" nonoutliers="0" outliers="1"/>
            <cx:statistics quartileMethod="exclusive"/>
          </cx:layoutPr>
        </cx:series>
        <cx:series layoutId="boxWhisker" uniqueId="{01793E20-C7C9-3940-8CDA-C0A1A21D7E6E}">
          <cx:tx>
            <cx:txData>
              <cx:f>_xlchart.v1.2</cx:f>
              <cx:v>MonthlyIncome(Male)</cx:v>
            </cx:txData>
          </cx:tx>
          <cx:dataId val="1"/>
          <cx:layoutPr>
            <cx:visibility meanLine="1" meanMarker="1" nonoutliers="0" outliers="1"/>
            <cx:statistics quartileMethod="exclusive"/>
          </cx:layoutPr>
        </cx:series>
      </cx:plotAreaRegion>
      <cx:axis id="0">
        <cx:catScaling gapWidth="1.5"/>
        <cx:title>
          <cx:tx>
            <cx:rich>
              <a:bodyPr spcFirstLastPara="1" vertOverflow="ellipsis" horzOverflow="overflow" wrap="square" lIns="0" tIns="0" rIns="0" bIns="0" anchor="ctr" anchorCtr="1"/>
              <a:lstStyle/>
              <a:p>
                <a:pPr algn="ctr" rtl="0">
                  <a:defRPr/>
                </a:pPr>
                <a:r>
                  <a:rPr lang="en-IN" sz="1200"/>
                  <a:t>Gender</a:t>
                </a:r>
                <a:endParaRPr lang="en-GB" sz="1200" b="0" i="0" u="none" strike="noStrike" baseline="0">
                  <a:solidFill>
                    <a:sysClr val="windowText" lastClr="000000">
                      <a:lumMod val="75000"/>
                      <a:lumOff val="25000"/>
                    </a:sysClr>
                  </a:solidFill>
                  <a:latin typeface="Aptos Narrow" panose="02110004020202020204"/>
                </a:endParaRPr>
              </a:p>
            </cx:rich>
          </cx:tx>
        </cx:title>
        <cx:tickLabels/>
      </cx:axis>
      <cx:axis id="1">
        <cx:valScaling/>
        <cx:title>
          <cx:tx>
            <cx:rich>
              <a:bodyPr spcFirstLastPara="1" vertOverflow="ellipsis" horzOverflow="overflow" wrap="square" lIns="0" tIns="0" rIns="0" bIns="0" anchor="ctr" anchorCtr="1"/>
              <a:lstStyle/>
              <a:p>
                <a:pPr algn="ctr" rtl="0">
                  <a:defRPr/>
                </a:pPr>
                <a:r>
                  <a:rPr lang="en-IN" sz="1200"/>
                  <a:t>Monthly Income (in AUD)</a:t>
                </a:r>
                <a:endParaRPr lang="en-GB" sz="1200" b="0" i="0" u="none" strike="noStrike" baseline="0">
                  <a:solidFill>
                    <a:sysClr val="windowText" lastClr="000000">
                      <a:lumMod val="75000"/>
                      <a:lumOff val="25000"/>
                    </a:sysClr>
                  </a:solidFill>
                  <a:latin typeface="Aptos Narrow" panose="02110004020202020204"/>
                </a:endParaRPr>
              </a:p>
            </cx:rich>
          </cx:tx>
        </cx:title>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58963</xdr:colOff>
      <xdr:row>55</xdr:row>
      <xdr:rowOff>120650</xdr:rowOff>
    </xdr:from>
    <xdr:to>
      <xdr:col>7</xdr:col>
      <xdr:colOff>816428</xdr:colOff>
      <xdr:row>75</xdr:row>
      <xdr:rowOff>54428</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A71A39D-AE0C-46FF-9293-B7615CBC48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75463" y="10623550"/>
              <a:ext cx="5837465" cy="374377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308428</xdr:colOff>
      <xdr:row>6</xdr:row>
      <xdr:rowOff>63500</xdr:rowOff>
    </xdr:from>
    <xdr:to>
      <xdr:col>12</xdr:col>
      <xdr:colOff>553357</xdr:colOff>
      <xdr:row>16</xdr:row>
      <xdr:rowOff>145143</xdr:rowOff>
    </xdr:to>
    <xdr:sp macro="" textlink="">
      <xdr:nvSpPr>
        <xdr:cNvPr id="4" name="TextBox 3">
          <a:extLst>
            <a:ext uri="{FF2B5EF4-FFF2-40B4-BE49-F238E27FC236}">
              <a16:creationId xmlns:a16="http://schemas.microsoft.com/office/drawing/2014/main" id="{7B271BEB-645C-0A09-8333-EC9911CDB487}"/>
            </a:ext>
          </a:extLst>
        </xdr:cNvPr>
        <xdr:cNvSpPr txBox="1"/>
      </xdr:nvSpPr>
      <xdr:spPr>
        <a:xfrm>
          <a:off x="11048999" y="1206500"/>
          <a:ext cx="3546929" cy="1986643"/>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The </a:t>
          </a:r>
          <a:r>
            <a:rPr lang="en-IN" b="1"/>
            <a:t>average monthly income</a:t>
          </a:r>
          <a:r>
            <a:rPr lang="en-IN"/>
            <a:t> for female employees is </a:t>
          </a:r>
          <a:r>
            <a:rPr lang="en-IN" b="1"/>
            <a:t>$8,126.84</a:t>
          </a:r>
          <a:r>
            <a:rPr lang="en-IN"/>
            <a:t>, while for male employees it is </a:t>
          </a:r>
          <a:r>
            <a:rPr lang="en-IN" b="1"/>
            <a:t>$4,107.11</a:t>
          </a:r>
          <a:r>
            <a:rPr lang="en-IN"/>
            <a:t>.</a:t>
          </a:r>
        </a:p>
        <a:p>
          <a:r>
            <a:rPr lang="en-IN"/>
            <a:t>The </a:t>
          </a:r>
          <a:r>
            <a:rPr lang="en-IN" b="1"/>
            <a:t>standard deviation</a:t>
          </a:r>
          <a:r>
            <a:rPr lang="en-IN"/>
            <a:t> for females is significantly higher (</a:t>
          </a:r>
          <a:r>
            <a:rPr lang="en-IN" b="1"/>
            <a:t>$6,248.06</a:t>
          </a:r>
          <a:r>
            <a:rPr lang="en-IN"/>
            <a:t>) compared to males (</a:t>
          </a:r>
          <a:r>
            <a:rPr lang="en-IN" b="1"/>
            <a:t>$3,545.00</a:t>
          </a:r>
          <a:r>
            <a:rPr lang="en-IN"/>
            <a:t>), suggesting greater income variability among females.</a:t>
          </a:r>
        </a:p>
        <a:p>
          <a:r>
            <a:rPr lang="en-IN"/>
            <a:t>The </a:t>
          </a:r>
          <a:r>
            <a:rPr lang="en-IN" b="1"/>
            <a:t>median income</a:t>
          </a:r>
          <a:r>
            <a:rPr lang="en-IN"/>
            <a:t> for females ($4,411) is also higher than that of males ($2,900), further reinforcing the difference in central tendency.</a:t>
          </a:r>
        </a:p>
        <a:p>
          <a:r>
            <a:rPr lang="en-IN"/>
            <a:t>Skewness and kurtosis indicate that </a:t>
          </a:r>
          <a:r>
            <a:rPr lang="en-IN" b="1"/>
            <a:t>male income distribution is more positively skewed</a:t>
          </a:r>
          <a:r>
            <a:rPr lang="en-IN"/>
            <a:t>, with more extreme outliers.</a:t>
          </a:r>
        </a:p>
        <a:p>
          <a:endParaRPr lang="en-GB" sz="1100"/>
        </a:p>
      </xdr:txBody>
    </xdr:sp>
    <xdr:clientData/>
  </xdr:twoCellAnchor>
  <xdr:twoCellAnchor>
    <xdr:from>
      <xdr:col>4</xdr:col>
      <xdr:colOff>399143</xdr:colOff>
      <xdr:row>1</xdr:row>
      <xdr:rowOff>54429</xdr:rowOff>
    </xdr:from>
    <xdr:to>
      <xdr:col>7</xdr:col>
      <xdr:colOff>825500</xdr:colOff>
      <xdr:row>3</xdr:row>
      <xdr:rowOff>136071</xdr:rowOff>
    </xdr:to>
    <xdr:sp macro="" textlink="">
      <xdr:nvSpPr>
        <xdr:cNvPr id="5" name="TextBox 4">
          <a:extLst>
            <a:ext uri="{FF2B5EF4-FFF2-40B4-BE49-F238E27FC236}">
              <a16:creationId xmlns:a16="http://schemas.microsoft.com/office/drawing/2014/main" id="{3AC3CC40-65C4-2C68-867B-2D6541BBCA6F}"/>
            </a:ext>
          </a:extLst>
        </xdr:cNvPr>
        <xdr:cNvSpPr txBox="1"/>
      </xdr:nvSpPr>
      <xdr:spPr>
        <a:xfrm>
          <a:off x="5234214" y="244929"/>
          <a:ext cx="5506357" cy="462642"/>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The HR team at IBM wants to investigate whether </a:t>
          </a:r>
          <a:r>
            <a:rPr lang="en-IN" b="1"/>
            <a:t>there is a difference in average monthly income between male and female employees</a:t>
          </a:r>
          <a:r>
            <a:rPr lang="en-IN"/>
            <a:t>.</a:t>
          </a:r>
          <a:endParaRPr lang="en-GB" sz="1100"/>
        </a:p>
      </xdr:txBody>
    </xdr:sp>
    <xdr:clientData/>
  </xdr:twoCellAnchor>
  <xdr:twoCellAnchor>
    <xdr:from>
      <xdr:col>8</xdr:col>
      <xdr:colOff>235858</xdr:colOff>
      <xdr:row>23</xdr:row>
      <xdr:rowOff>90715</xdr:rowOff>
    </xdr:from>
    <xdr:to>
      <xdr:col>13</xdr:col>
      <xdr:colOff>63501</xdr:colOff>
      <xdr:row>33</xdr:row>
      <xdr:rowOff>45358</xdr:rowOff>
    </xdr:to>
    <xdr:sp macro="" textlink="">
      <xdr:nvSpPr>
        <xdr:cNvPr id="6" name="TextBox 5">
          <a:extLst>
            <a:ext uri="{FF2B5EF4-FFF2-40B4-BE49-F238E27FC236}">
              <a16:creationId xmlns:a16="http://schemas.microsoft.com/office/drawing/2014/main" id="{7C38BA0D-CE2A-E872-27D7-D45CC796EA3D}"/>
            </a:ext>
          </a:extLst>
        </xdr:cNvPr>
        <xdr:cNvSpPr txBox="1"/>
      </xdr:nvSpPr>
      <xdr:spPr>
        <a:xfrm>
          <a:off x="10976429" y="4481286"/>
          <a:ext cx="3955143" cy="1859643"/>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Null Hypothesis (H₀):</a:t>
          </a:r>
          <a:br>
            <a:rPr lang="en-IN"/>
          </a:br>
          <a:r>
            <a:rPr lang="en-IN"/>
            <a:t>There is </a:t>
          </a:r>
          <a:r>
            <a:rPr lang="en-IN" b="1"/>
            <a:t>no difference</a:t>
          </a:r>
          <a:r>
            <a:rPr lang="en-IN"/>
            <a:t> in the average monthly income between male and female employees at IBM.</a:t>
          </a:r>
          <a:br>
            <a:rPr lang="el-GR"/>
          </a:br>
          <a:r>
            <a:rPr lang="el-GR"/>
            <a:t>(</a:t>
          </a:r>
          <a:r>
            <a:rPr lang="en-IN"/>
            <a:t>Where </a:t>
          </a:r>
          <a:r>
            <a:rPr lang="el-GR"/>
            <a:t>μ₁ </a:t>
          </a:r>
          <a:r>
            <a:rPr lang="en-IN"/>
            <a:t>is the mean income of female employees and </a:t>
          </a:r>
          <a:r>
            <a:rPr lang="el-GR"/>
            <a:t>μ₂ </a:t>
          </a:r>
          <a:r>
            <a:rPr lang="en-IN"/>
            <a:t>is the mean income of male employees)</a:t>
          </a:r>
        </a:p>
        <a:p>
          <a:r>
            <a:rPr lang="en-IN" b="1"/>
            <a:t>Alternative Hypothesis (H₁):</a:t>
          </a:r>
          <a:br>
            <a:rPr lang="en-IN"/>
          </a:br>
          <a:r>
            <a:rPr lang="en-IN"/>
            <a:t>There </a:t>
          </a:r>
          <a:r>
            <a:rPr lang="en-IN" b="1"/>
            <a:t>is a difference</a:t>
          </a:r>
          <a:r>
            <a:rPr lang="en-IN"/>
            <a:t> in the average monthly income between male and female employees.</a:t>
          </a:r>
          <a:br>
            <a:rPr lang="en-IN"/>
          </a:br>
          <a:r>
            <a:rPr lang="en-IN"/>
            <a:t>This is a </a:t>
          </a:r>
          <a:r>
            <a:rPr lang="en-IN" b="1"/>
            <a:t>two-tailed</a:t>
          </a:r>
          <a:r>
            <a:rPr lang="en-IN"/>
            <a:t> hypothesis test because we are checking </a:t>
          </a:r>
          <a:r>
            <a:rPr lang="en-IN" b="1"/>
            <a:t>any difference</a:t>
          </a:r>
          <a:r>
            <a:rPr lang="en-IN"/>
            <a:t>, not whether one gender earns more than the other.</a:t>
          </a:r>
        </a:p>
        <a:p>
          <a:endParaRPr lang="en-GB" sz="1100"/>
        </a:p>
      </xdr:txBody>
    </xdr:sp>
    <xdr:clientData/>
  </xdr:twoCellAnchor>
  <xdr:twoCellAnchor>
    <xdr:from>
      <xdr:col>8</xdr:col>
      <xdr:colOff>263072</xdr:colOff>
      <xdr:row>37</xdr:row>
      <xdr:rowOff>90714</xdr:rowOff>
    </xdr:from>
    <xdr:to>
      <xdr:col>14</xdr:col>
      <xdr:colOff>381000</xdr:colOff>
      <xdr:row>60</xdr:row>
      <xdr:rowOff>90714</xdr:rowOff>
    </xdr:to>
    <xdr:sp macro="" textlink="">
      <xdr:nvSpPr>
        <xdr:cNvPr id="7" name="TextBox 6">
          <a:extLst>
            <a:ext uri="{FF2B5EF4-FFF2-40B4-BE49-F238E27FC236}">
              <a16:creationId xmlns:a16="http://schemas.microsoft.com/office/drawing/2014/main" id="{EF5548C0-4217-93D9-2BA7-0F26EEB987C1}"/>
            </a:ext>
          </a:extLst>
        </xdr:cNvPr>
        <xdr:cNvSpPr txBox="1"/>
      </xdr:nvSpPr>
      <xdr:spPr>
        <a:xfrm>
          <a:off x="11003643" y="7148285"/>
          <a:ext cx="5070928" cy="4390572"/>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Assumptions of the Two-Sample Independent t-Test</a:t>
          </a:r>
        </a:p>
        <a:p>
          <a:r>
            <a:rPr lang="en-IN"/>
            <a:t>For the results to be valid, the following assumptions must be satisfied:</a:t>
          </a:r>
        </a:p>
        <a:p>
          <a:r>
            <a:rPr lang="en-IN" b="1"/>
            <a:t>1. Independence of Observations</a:t>
          </a:r>
        </a:p>
        <a:p>
          <a:r>
            <a:rPr lang="en-IN"/>
            <a:t>The two groups being compared (male and female employees) are </a:t>
          </a:r>
          <a:r>
            <a:rPr lang="en-IN" b="1"/>
            <a:t>independent</a:t>
          </a:r>
          <a:r>
            <a:rPr lang="en-IN"/>
            <a:t>, meaning that the monthly income of one employee does not influence the income of another.</a:t>
          </a:r>
          <a:br>
            <a:rPr lang="en-IN"/>
          </a:br>
          <a:r>
            <a:rPr lang="en-IN"/>
            <a:t>This assumption is met because </a:t>
          </a:r>
          <a:r>
            <a:rPr lang="en-IN" b="1"/>
            <a:t>each income is collected from a different individual</a:t>
          </a:r>
          <a:r>
            <a:rPr lang="en-IN"/>
            <a:t> with no overlap or pairing.</a:t>
          </a:r>
        </a:p>
        <a:p>
          <a:r>
            <a:rPr lang="en-IN" b="1"/>
            <a:t>2. Normality</a:t>
          </a:r>
        </a:p>
        <a:p>
          <a:r>
            <a:rPr lang="en-IN"/>
            <a:t>The variable being tested  </a:t>
          </a:r>
          <a:r>
            <a:rPr lang="en-IN" b="1"/>
            <a:t>monthly income</a:t>
          </a:r>
          <a:r>
            <a:rPr lang="en-IN"/>
            <a:t>  should be approximately </a:t>
          </a:r>
          <a:r>
            <a:rPr lang="en-IN" b="1"/>
            <a:t>normally distributed</a:t>
          </a:r>
          <a:r>
            <a:rPr lang="en-IN"/>
            <a:t> in each group.</a:t>
          </a:r>
          <a:br>
            <a:rPr lang="en-IN"/>
          </a:br>
          <a:r>
            <a:rPr lang="en-IN"/>
            <a:t>While the male group shows slight skewness, both samples have </a:t>
          </a:r>
          <a:r>
            <a:rPr lang="en-IN" b="1"/>
            <a:t>sufficient size</a:t>
          </a:r>
          <a:r>
            <a:rPr lang="en-IN"/>
            <a:t> (n = 44 for females, n = 76 for males), which allows us to rely on the </a:t>
          </a:r>
          <a:r>
            <a:rPr lang="en-IN" b="1"/>
            <a:t>Central Limit Theorem</a:t>
          </a:r>
          <a:r>
            <a:rPr lang="en-IN"/>
            <a:t>. This means the sampling distribution of the mean is approximately normal even if the raw data is not perfectly normal.</a:t>
          </a:r>
        </a:p>
        <a:p>
          <a:r>
            <a:rPr lang="en-IN" b="1"/>
            <a:t>3. Equal Variances (Homogeneity of Variance)</a:t>
          </a:r>
        </a:p>
        <a:p>
          <a:r>
            <a:rPr lang="en-IN"/>
            <a:t>The variability of monthly income (measured by standard deviation) should be </a:t>
          </a:r>
          <a:r>
            <a:rPr lang="en-IN" b="1"/>
            <a:t>roughly equal</a:t>
          </a:r>
          <a:r>
            <a:rPr lang="en-IN"/>
            <a:t> between males and females.</a:t>
          </a:r>
          <a:br>
            <a:rPr lang="en-IN"/>
          </a:br>
          <a:r>
            <a:rPr lang="en-IN"/>
            <a:t>From the data:</a:t>
          </a:r>
        </a:p>
        <a:p>
          <a:r>
            <a:rPr lang="en-IN"/>
            <a:t>Female SD = 6,248.06</a:t>
          </a:r>
        </a:p>
        <a:p>
          <a:r>
            <a:rPr lang="en-IN"/>
            <a:t>Male SD = 6,271.48</a:t>
          </a:r>
          <a:br>
            <a:rPr lang="en-IN"/>
          </a:br>
          <a:r>
            <a:rPr lang="en-IN"/>
            <a:t>The standard deviations are </a:t>
          </a:r>
          <a:r>
            <a:rPr lang="en-IN" b="1"/>
            <a:t>very close</a:t>
          </a:r>
          <a:r>
            <a:rPr lang="en-IN"/>
            <a:t>, so it is </a:t>
          </a:r>
          <a:r>
            <a:rPr lang="en-IN" b="1"/>
            <a:t>reasonable to assume equal variances</a:t>
          </a:r>
          <a:r>
            <a:rPr lang="en-IN"/>
            <a:t>.</a:t>
          </a:r>
        </a:p>
        <a:p>
          <a:r>
            <a:rPr lang="en-IN"/>
            <a:t>Because all assumptions are reasonably met, the </a:t>
          </a:r>
          <a:r>
            <a:rPr lang="en-IN" b="1"/>
            <a:t>two-sample t-test with equal variances</a:t>
          </a:r>
          <a:r>
            <a:rPr lang="en-IN"/>
            <a:t> is appropriate.</a:t>
          </a:r>
        </a:p>
        <a:p>
          <a:endParaRPr lang="en-GB" sz="1100"/>
        </a:p>
      </xdr:txBody>
    </xdr:sp>
    <xdr:clientData/>
  </xdr:twoCellAnchor>
  <xdr:twoCellAnchor>
    <xdr:from>
      <xdr:col>14</xdr:col>
      <xdr:colOff>489858</xdr:colOff>
      <xdr:row>53</xdr:row>
      <xdr:rowOff>136072</xdr:rowOff>
    </xdr:from>
    <xdr:to>
      <xdr:col>19</xdr:col>
      <xdr:colOff>816429</xdr:colOff>
      <xdr:row>60</xdr:row>
      <xdr:rowOff>63501</xdr:rowOff>
    </xdr:to>
    <xdr:sp macro="" textlink="">
      <xdr:nvSpPr>
        <xdr:cNvPr id="8" name="TextBox 7">
          <a:extLst>
            <a:ext uri="{FF2B5EF4-FFF2-40B4-BE49-F238E27FC236}">
              <a16:creationId xmlns:a16="http://schemas.microsoft.com/office/drawing/2014/main" id="{883A91A0-739A-BD1B-28B7-7461857A2152}"/>
            </a:ext>
          </a:extLst>
        </xdr:cNvPr>
        <xdr:cNvSpPr txBox="1"/>
      </xdr:nvSpPr>
      <xdr:spPr>
        <a:xfrm>
          <a:off x="16183429" y="10250715"/>
          <a:ext cx="4526643" cy="1260929"/>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This hypothesis test allows us to statistically assess whether observed differences in income between genders are due to </a:t>
          </a:r>
          <a:r>
            <a:rPr lang="en-IN" b="1"/>
            <a:t>chance or a real effect</a:t>
          </a:r>
          <a:r>
            <a:rPr lang="en-IN"/>
            <a:t>. In this case, the </a:t>
          </a:r>
          <a:r>
            <a:rPr lang="en-IN" b="1"/>
            <a:t>p-value (0.8012)</a:t>
          </a:r>
          <a:r>
            <a:rPr lang="en-IN"/>
            <a:t> is much greater than the significance level (</a:t>
          </a:r>
          <a:r>
            <a:rPr lang="el-GR"/>
            <a:t>α = 0.05), </a:t>
          </a:r>
          <a:r>
            <a:rPr lang="en-IN"/>
            <a:t>so we </a:t>
          </a:r>
          <a:r>
            <a:rPr lang="en-IN" b="1"/>
            <a:t>fail to reject the null hypothesis</a:t>
          </a:r>
          <a:r>
            <a:rPr lang="en-IN"/>
            <a:t> and conclude that there is </a:t>
          </a:r>
          <a:r>
            <a:rPr lang="en-IN" b="1"/>
            <a:t>no significant difference</a:t>
          </a:r>
          <a:r>
            <a:rPr lang="en-IN"/>
            <a:t> in average monthly income between genders at IBM.</a:t>
          </a:r>
          <a:endParaRPr lang="en-GB" sz="1100"/>
        </a:p>
      </xdr:txBody>
    </xdr:sp>
    <xdr:clientData/>
  </xdr:twoCellAnchor>
  <xdr:twoCellAnchor>
    <xdr:from>
      <xdr:col>4</xdr:col>
      <xdr:colOff>371929</xdr:colOff>
      <xdr:row>77</xdr:row>
      <xdr:rowOff>54428</xdr:rowOff>
    </xdr:from>
    <xdr:to>
      <xdr:col>7</xdr:col>
      <xdr:colOff>807358</xdr:colOff>
      <xdr:row>87</xdr:row>
      <xdr:rowOff>0</xdr:rowOff>
    </xdr:to>
    <xdr:sp macro="" textlink="">
      <xdr:nvSpPr>
        <xdr:cNvPr id="9" name="TextBox 8">
          <a:extLst>
            <a:ext uri="{FF2B5EF4-FFF2-40B4-BE49-F238E27FC236}">
              <a16:creationId xmlns:a16="http://schemas.microsoft.com/office/drawing/2014/main" id="{2D595081-7CF1-B853-896C-119C83F0AC6B}"/>
            </a:ext>
          </a:extLst>
        </xdr:cNvPr>
        <xdr:cNvSpPr txBox="1"/>
      </xdr:nvSpPr>
      <xdr:spPr>
        <a:xfrm>
          <a:off x="5207000" y="14741071"/>
          <a:ext cx="5515429" cy="1850572"/>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Female employees have a higher median and mean income</a:t>
          </a:r>
          <a:r>
            <a:rPr lang="en-IN"/>
            <a:t> than male employees.</a:t>
          </a:r>
        </a:p>
        <a:p>
          <a:r>
            <a:rPr lang="en-IN"/>
            <a:t>The income distribution for females is </a:t>
          </a:r>
          <a:r>
            <a:rPr lang="en-IN" b="1"/>
            <a:t>wider</a:t>
          </a:r>
          <a:r>
            <a:rPr lang="en-IN"/>
            <a:t>, indicating </a:t>
          </a:r>
          <a:r>
            <a:rPr lang="en-IN" b="1"/>
            <a:t>greater variability</a:t>
          </a:r>
          <a:r>
            <a:rPr lang="en-IN"/>
            <a:t> in pay.</a:t>
          </a:r>
        </a:p>
        <a:p>
          <a:r>
            <a:rPr lang="en-IN"/>
            <a:t>Male income values are </a:t>
          </a:r>
          <a:r>
            <a:rPr lang="en-IN" b="1"/>
            <a:t>more tightly clustered</a:t>
          </a:r>
          <a:r>
            <a:rPr lang="en-IN"/>
            <a:t>, but have </a:t>
          </a:r>
          <a:r>
            <a:rPr lang="en-IN" b="1"/>
            <a:t>more visible outliers</a:t>
          </a:r>
          <a:r>
            <a:rPr lang="en-IN"/>
            <a:t>.</a:t>
          </a:r>
        </a:p>
        <a:p>
          <a:r>
            <a:rPr lang="en-IN"/>
            <a:t>The entire </a:t>
          </a:r>
          <a:r>
            <a:rPr lang="en-IN" b="1"/>
            <a:t>female income range is shifted higher</a:t>
          </a:r>
          <a:r>
            <a:rPr lang="en-IN"/>
            <a:t> than that of males, suggesting that women are earning more in this dataset.</a:t>
          </a:r>
        </a:p>
        <a:p>
          <a:endParaRPr lang="en-IN"/>
        </a:p>
        <a:p>
          <a:r>
            <a:rPr lang="en-IN"/>
            <a:t>The boxplot visually highlights differences in income distribution by gender, with females showing higher and more spread-out incomes. However, statistical testing indicates that this difference is </a:t>
          </a:r>
          <a:r>
            <a:rPr lang="en-IN" b="1"/>
            <a:t>not significant</a:t>
          </a:r>
          <a:r>
            <a:rPr lang="en-IN"/>
            <a:t>, suggesting that gender does </a:t>
          </a:r>
          <a:r>
            <a:rPr lang="en-IN" b="1"/>
            <a:t>not have a strong effect</a:t>
          </a:r>
          <a:r>
            <a:rPr lang="en-IN"/>
            <a:t> on monthly income at IBM in this sample.</a:t>
          </a:r>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10763</xdr:colOff>
      <xdr:row>0</xdr:row>
      <xdr:rowOff>98780</xdr:rowOff>
    </xdr:from>
    <xdr:to>
      <xdr:col>13</xdr:col>
      <xdr:colOff>10762</xdr:colOff>
      <xdr:row>1</xdr:row>
      <xdr:rowOff>150678</xdr:rowOff>
    </xdr:to>
    <xdr:sp macro="" textlink="">
      <xdr:nvSpPr>
        <xdr:cNvPr id="4" name="TextBox 3">
          <a:extLst>
            <a:ext uri="{FF2B5EF4-FFF2-40B4-BE49-F238E27FC236}">
              <a16:creationId xmlns:a16="http://schemas.microsoft.com/office/drawing/2014/main" id="{E4EA82A1-8E1C-4F5D-A121-4E5E3DC2EE8E}"/>
            </a:ext>
          </a:extLst>
        </xdr:cNvPr>
        <xdr:cNvSpPr txBox="1"/>
      </xdr:nvSpPr>
      <xdr:spPr>
        <a:xfrm>
          <a:off x="8308814" y="98780"/>
          <a:ext cx="7996694" cy="245627"/>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we aim to examine whether an employee’s </a:t>
          </a:r>
          <a:r>
            <a:rPr lang="en-IN" b="1"/>
            <a:t>marital status</a:t>
          </a:r>
          <a:r>
            <a:rPr lang="en-IN"/>
            <a:t> (Married, Divorced, or Single) has an impact on their </a:t>
          </a:r>
          <a:r>
            <a:rPr lang="en-IN" b="1"/>
            <a:t>monthly income</a:t>
          </a:r>
          <a:r>
            <a:rPr lang="en-IN"/>
            <a:t> at IBM</a:t>
          </a:r>
          <a:endParaRPr lang="en-GB" sz="1100"/>
        </a:p>
      </xdr:txBody>
    </xdr:sp>
    <xdr:clientData/>
  </xdr:twoCellAnchor>
  <xdr:twoCellAnchor>
    <xdr:from>
      <xdr:col>5</xdr:col>
      <xdr:colOff>796443</xdr:colOff>
      <xdr:row>39</xdr:row>
      <xdr:rowOff>16027</xdr:rowOff>
    </xdr:from>
    <xdr:to>
      <xdr:col>10</xdr:col>
      <xdr:colOff>0</xdr:colOff>
      <xdr:row>47</xdr:row>
      <xdr:rowOff>58360</xdr:rowOff>
    </xdr:to>
    <xdr:sp macro="" textlink="">
      <xdr:nvSpPr>
        <xdr:cNvPr id="5" name="TextBox 4">
          <a:extLst>
            <a:ext uri="{FF2B5EF4-FFF2-40B4-BE49-F238E27FC236}">
              <a16:creationId xmlns:a16="http://schemas.microsoft.com/office/drawing/2014/main" id="{80B2F189-40F0-CE61-5ECE-D5A946113798}"/>
            </a:ext>
          </a:extLst>
        </xdr:cNvPr>
        <xdr:cNvSpPr txBox="1"/>
      </xdr:nvSpPr>
      <xdr:spPr>
        <a:xfrm>
          <a:off x="7437036" y="7636027"/>
          <a:ext cx="5607371" cy="1592164"/>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We are comparing </a:t>
          </a:r>
          <a:r>
            <a:rPr lang="en-IN" b="1"/>
            <a:t>more than two group means</a:t>
          </a:r>
          <a:r>
            <a:rPr lang="en-IN"/>
            <a:t> (Married, Divorced, and Single) for </a:t>
          </a:r>
          <a:r>
            <a:rPr lang="en-IN" b="1"/>
            <a:t>monthly income</a:t>
          </a:r>
          <a:r>
            <a:rPr lang="en-IN"/>
            <a:t>. Therefore, we need a statistical method that tests whether at least one group mean is significantly different from the others.</a:t>
          </a:r>
        </a:p>
        <a:p>
          <a:r>
            <a:rPr lang="en-IN"/>
            <a:t>That method is:</a:t>
          </a:r>
        </a:p>
        <a:p>
          <a:r>
            <a:rPr lang="en-IN" b="1"/>
            <a:t>One-Way ANOVA (Analysis of Variance)</a:t>
          </a:r>
          <a:r>
            <a:rPr lang="en-IN"/>
            <a:t>  because:</a:t>
          </a:r>
        </a:p>
        <a:p>
          <a:r>
            <a:rPr lang="en-IN"/>
            <a:t>The independent variable (Marital Status) has </a:t>
          </a:r>
          <a:r>
            <a:rPr lang="en-IN" b="1"/>
            <a:t>3 categories</a:t>
          </a:r>
          <a:endParaRPr lang="en-IN"/>
        </a:p>
        <a:p>
          <a:r>
            <a:rPr lang="en-IN"/>
            <a:t>The dependent variable (Monthly Income) is </a:t>
          </a:r>
          <a:r>
            <a:rPr lang="en-IN" b="1"/>
            <a:t>continuous</a:t>
          </a:r>
          <a:endParaRPr lang="en-IN"/>
        </a:p>
        <a:p>
          <a:r>
            <a:rPr lang="en-IN"/>
            <a:t>We assume independent groups and approximately equal variances</a:t>
          </a:r>
        </a:p>
        <a:p>
          <a:endParaRPr lang="en-GB" sz="1100"/>
        </a:p>
      </xdr:txBody>
    </xdr:sp>
    <xdr:clientData/>
  </xdr:twoCellAnchor>
  <xdr:twoCellAnchor>
    <xdr:from>
      <xdr:col>6</xdr:col>
      <xdr:colOff>18656</xdr:colOff>
      <xdr:row>48</xdr:row>
      <xdr:rowOff>21527</xdr:rowOff>
    </xdr:from>
    <xdr:to>
      <xdr:col>10</xdr:col>
      <xdr:colOff>10762</xdr:colOff>
      <xdr:row>63</xdr:row>
      <xdr:rowOff>35638</xdr:rowOff>
    </xdr:to>
    <xdr:sp macro="" textlink="">
      <xdr:nvSpPr>
        <xdr:cNvPr id="7" name="TextBox 6">
          <a:extLst>
            <a:ext uri="{FF2B5EF4-FFF2-40B4-BE49-F238E27FC236}">
              <a16:creationId xmlns:a16="http://schemas.microsoft.com/office/drawing/2014/main" id="{32F201FD-00C3-FB71-42E5-43675EB71EB9}"/>
            </a:ext>
          </a:extLst>
        </xdr:cNvPr>
        <xdr:cNvSpPr txBox="1"/>
      </xdr:nvSpPr>
      <xdr:spPr>
        <a:xfrm>
          <a:off x="7487978" y="9385086"/>
          <a:ext cx="5567191" cy="2920044"/>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Assumptions for ANOVA</a:t>
          </a:r>
        </a:p>
        <a:p>
          <a:r>
            <a:rPr lang="en-IN" b="1"/>
            <a:t>Independence</a:t>
          </a:r>
          <a:br>
            <a:rPr lang="en-IN"/>
          </a:br>
          <a:r>
            <a:rPr lang="en-IN"/>
            <a:t>Each observation (income) is independent and belongs to only one marital group.</a:t>
          </a:r>
        </a:p>
        <a:p>
          <a:r>
            <a:rPr lang="en-IN" b="1"/>
            <a:t>Normality</a:t>
          </a:r>
          <a:br>
            <a:rPr lang="en-IN"/>
          </a:br>
          <a:r>
            <a:rPr lang="en-IN"/>
            <a:t>Income in each group should be approximately normally distributed. Your sample sizes are:</a:t>
          </a:r>
        </a:p>
        <a:p>
          <a:pPr lvl="1"/>
          <a:r>
            <a:rPr lang="en-IN"/>
            <a:t>Married = 48</a:t>
          </a:r>
        </a:p>
        <a:p>
          <a:pPr lvl="1"/>
          <a:r>
            <a:rPr lang="en-IN"/>
            <a:t>Divorced = 34</a:t>
          </a:r>
        </a:p>
        <a:p>
          <a:pPr lvl="1"/>
          <a:r>
            <a:rPr lang="en-IN"/>
            <a:t>Single = 38</a:t>
          </a:r>
          <a:br>
            <a:rPr lang="en-IN"/>
          </a:br>
          <a:r>
            <a:rPr lang="en-IN"/>
            <a:t>These are </a:t>
          </a:r>
          <a:r>
            <a:rPr lang="en-IN" b="1"/>
            <a:t>moderate</a:t>
          </a:r>
          <a:r>
            <a:rPr lang="en-IN"/>
            <a:t>, so </a:t>
          </a:r>
          <a:r>
            <a:rPr lang="en-IN" b="1"/>
            <a:t>Central Limit Theorem</a:t>
          </a:r>
          <a:r>
            <a:rPr lang="en-IN"/>
            <a:t> applies, making ANOVA valid.</a:t>
          </a:r>
        </a:p>
        <a:p>
          <a:r>
            <a:rPr lang="en-IN" b="1"/>
            <a:t>Homogeneity of Variance</a:t>
          </a:r>
          <a:br>
            <a:rPr lang="en-IN"/>
          </a:br>
          <a:r>
            <a:rPr lang="en-IN"/>
            <a:t>The </a:t>
          </a:r>
          <a:r>
            <a:rPr lang="en-IN" b="1"/>
            <a:t>standard deviations</a:t>
          </a:r>
          <a:r>
            <a:rPr lang="en-IN"/>
            <a:t> are close (within acceptable range):</a:t>
          </a:r>
        </a:p>
        <a:p>
          <a:pPr lvl="1"/>
          <a:r>
            <a:rPr lang="en-IN"/>
            <a:t>Married: 6418.49</a:t>
          </a:r>
        </a:p>
        <a:p>
          <a:pPr lvl="1"/>
          <a:r>
            <a:rPr lang="en-IN"/>
            <a:t>Divorced: 6532.71</a:t>
          </a:r>
        </a:p>
        <a:p>
          <a:pPr lvl="1"/>
          <a:r>
            <a:rPr lang="en-IN"/>
            <a:t>Single: 5828.78</a:t>
          </a:r>
          <a:br>
            <a:rPr lang="en-IN"/>
          </a:br>
          <a:r>
            <a:rPr lang="en-IN"/>
            <a:t>Equal variance assumption is reasonable.</a:t>
          </a:r>
        </a:p>
        <a:p>
          <a:endParaRPr lang="en-GB" sz="1100"/>
        </a:p>
      </xdr:txBody>
    </xdr:sp>
    <xdr:clientData/>
  </xdr:twoCellAnchor>
  <xdr:twoCellAnchor>
    <xdr:from>
      <xdr:col>6</xdr:col>
      <xdr:colOff>0</xdr:colOff>
      <xdr:row>64</xdr:row>
      <xdr:rowOff>8611</xdr:rowOff>
    </xdr:from>
    <xdr:to>
      <xdr:col>10</xdr:col>
      <xdr:colOff>0</xdr:colOff>
      <xdr:row>71</xdr:row>
      <xdr:rowOff>89451</xdr:rowOff>
    </xdr:to>
    <xdr:sp macro="" textlink="">
      <xdr:nvSpPr>
        <xdr:cNvPr id="8" name="TextBox 7">
          <a:extLst>
            <a:ext uri="{FF2B5EF4-FFF2-40B4-BE49-F238E27FC236}">
              <a16:creationId xmlns:a16="http://schemas.microsoft.com/office/drawing/2014/main" id="{AF325622-F414-08A1-C655-9FC915AD71CA}"/>
            </a:ext>
          </a:extLst>
        </xdr:cNvPr>
        <xdr:cNvSpPr txBox="1"/>
      </xdr:nvSpPr>
      <xdr:spPr>
        <a:xfrm>
          <a:off x="7469322" y="12471831"/>
          <a:ext cx="5575085" cy="1436942"/>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 one-way ANOVA was conducted to test whether the average monthly income differs based on marital status (Married, Divorced, Single).</a:t>
          </a:r>
        </a:p>
        <a:p>
          <a:r>
            <a:rPr lang="en-IN"/>
            <a:t>The </a:t>
          </a:r>
          <a:r>
            <a:rPr lang="en-IN" b="1"/>
            <a:t>F-statistic was 0.70</a:t>
          </a:r>
          <a:r>
            <a:rPr lang="en-IN"/>
            <a:t> with a corresponding </a:t>
          </a:r>
          <a:r>
            <a:rPr lang="en-IN" b="1"/>
            <a:t>p-value of 0.50</a:t>
          </a:r>
          <a:r>
            <a:rPr lang="en-IN"/>
            <a:t>, which is </a:t>
          </a:r>
          <a:r>
            <a:rPr lang="en-IN" b="1"/>
            <a:t>greater than the significance level of 0.05</a:t>
          </a:r>
          <a:r>
            <a:rPr lang="en-IN"/>
            <a:t>.</a:t>
          </a:r>
        </a:p>
        <a:p>
          <a:r>
            <a:rPr lang="en-IN" b="1"/>
            <a:t>Conclusion:</a:t>
          </a:r>
          <a:r>
            <a:rPr lang="en-IN"/>
            <a:t> We </a:t>
          </a:r>
          <a:r>
            <a:rPr lang="en-IN" b="1"/>
            <a:t>fail to reject the null hypothesis</a:t>
          </a:r>
          <a:r>
            <a:rPr lang="en-IN"/>
            <a:t>, meaning there is </a:t>
          </a:r>
          <a:r>
            <a:rPr lang="en-IN" b="1"/>
            <a:t>no statistically significant difference</a:t>
          </a:r>
          <a:r>
            <a:rPr lang="en-IN"/>
            <a:t> in the average monthly income among the three marital status groups.</a:t>
          </a:r>
        </a:p>
        <a:p>
          <a:endParaRPr lang="en-GB" sz="1100"/>
        </a:p>
      </xdr:txBody>
    </xdr:sp>
    <xdr:clientData/>
  </xdr:twoCellAnchor>
  <xdr:twoCellAnchor>
    <xdr:from>
      <xdr:col>10</xdr:col>
      <xdr:colOff>0</xdr:colOff>
      <xdr:row>60</xdr:row>
      <xdr:rowOff>1195</xdr:rowOff>
    </xdr:from>
    <xdr:to>
      <xdr:col>15</xdr:col>
      <xdr:colOff>809833</xdr:colOff>
      <xdr:row>64</xdr:row>
      <xdr:rowOff>67923</xdr:rowOff>
    </xdr:to>
    <xdr:sp macro="" textlink="">
      <xdr:nvSpPr>
        <xdr:cNvPr id="9" name="TextBox 8">
          <a:extLst>
            <a:ext uri="{FF2B5EF4-FFF2-40B4-BE49-F238E27FC236}">
              <a16:creationId xmlns:a16="http://schemas.microsoft.com/office/drawing/2014/main" id="{5BB38414-F006-6966-BFDA-D68374AB875F}"/>
            </a:ext>
          </a:extLst>
        </xdr:cNvPr>
        <xdr:cNvSpPr txBox="1"/>
      </xdr:nvSpPr>
      <xdr:spPr>
        <a:xfrm>
          <a:off x="13044407" y="11689500"/>
          <a:ext cx="5717629" cy="841643"/>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While the descriptive statistics suggest some variation in income by marital status  with divorced employees having slightly higher average income than married or single ones  these differences are </a:t>
          </a:r>
          <a:r>
            <a:rPr lang="en-IN" b="1"/>
            <a:t>not statistically significant</a:t>
          </a:r>
          <a:r>
            <a:rPr lang="en-IN"/>
            <a:t>. The ANOVA test confirms that </a:t>
          </a:r>
          <a:r>
            <a:rPr lang="en-IN" b="1"/>
            <a:t>marital status is not a significant factor</a:t>
          </a:r>
          <a:r>
            <a:rPr lang="en-IN"/>
            <a:t> in predicting monthly income in this dataset</a:t>
          </a:r>
          <a:endParaRPr lang="en-GB" sz="1100"/>
        </a:p>
      </xdr:txBody>
    </xdr:sp>
    <xdr:clientData/>
  </xdr:twoCellAnchor>
  <xdr:twoCellAnchor>
    <xdr:from>
      <xdr:col>14</xdr:col>
      <xdr:colOff>790223</xdr:colOff>
      <xdr:row>17</xdr:row>
      <xdr:rowOff>-1</xdr:rowOff>
    </xdr:from>
    <xdr:to>
      <xdr:col>26</xdr:col>
      <xdr:colOff>310445</xdr:colOff>
      <xdr:row>44</xdr:row>
      <xdr:rowOff>-1</xdr:rowOff>
    </xdr:to>
    <xdr:graphicFrame macro="">
      <xdr:nvGraphicFramePr>
        <xdr:cNvPr id="10" name="Chart 9">
          <a:extLst>
            <a:ext uri="{FF2B5EF4-FFF2-40B4-BE49-F238E27FC236}">
              <a16:creationId xmlns:a16="http://schemas.microsoft.com/office/drawing/2014/main" id="{1AA99581-C3B7-FF44-86C7-D3D07DF98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45</xdr:row>
      <xdr:rowOff>141112</xdr:rowOff>
    </xdr:from>
    <xdr:to>
      <xdr:col>27</xdr:col>
      <xdr:colOff>10763</xdr:colOff>
      <xdr:row>48</xdr:row>
      <xdr:rowOff>43052</xdr:rowOff>
    </xdr:to>
    <xdr:sp macro="" textlink="">
      <xdr:nvSpPr>
        <xdr:cNvPr id="11" name="TextBox 10">
          <a:extLst>
            <a:ext uri="{FF2B5EF4-FFF2-40B4-BE49-F238E27FC236}">
              <a16:creationId xmlns:a16="http://schemas.microsoft.com/office/drawing/2014/main" id="{440B9D70-188A-5041-D88C-E67D2FBA2000}"/>
            </a:ext>
          </a:extLst>
        </xdr:cNvPr>
        <xdr:cNvSpPr txBox="1"/>
      </xdr:nvSpPr>
      <xdr:spPr>
        <a:xfrm>
          <a:off x="17952203" y="8923485"/>
          <a:ext cx="9955509" cy="48312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This clustered column chart compares the monthly income of employees across three marital status groups: Married, Divorced, and Single.</a:t>
          </a:r>
          <a:br>
            <a:rPr lang="en-IN"/>
          </a:br>
          <a:r>
            <a:rPr lang="en-IN"/>
            <a:t>While individual incomes vary, there is no clear trend suggesting that marital status significantly influences average income  a finding supported by the ANOVA test (p = 0.50).</a:t>
          </a:r>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xdr:colOff>
      <xdr:row>1</xdr:row>
      <xdr:rowOff>16933</xdr:rowOff>
    </xdr:from>
    <xdr:to>
      <xdr:col>9</xdr:col>
      <xdr:colOff>10161</xdr:colOff>
      <xdr:row>2</xdr:row>
      <xdr:rowOff>91440</xdr:rowOff>
    </xdr:to>
    <xdr:sp macro="" textlink="">
      <xdr:nvSpPr>
        <xdr:cNvPr id="2" name="TextBox 1">
          <a:extLst>
            <a:ext uri="{FF2B5EF4-FFF2-40B4-BE49-F238E27FC236}">
              <a16:creationId xmlns:a16="http://schemas.microsoft.com/office/drawing/2014/main" id="{D7416341-D4A5-3AF1-3E40-74BA61D144AD}"/>
            </a:ext>
          </a:extLst>
        </xdr:cNvPr>
        <xdr:cNvSpPr txBox="1"/>
      </xdr:nvSpPr>
      <xdr:spPr>
        <a:xfrm>
          <a:off x="5222241" y="209973"/>
          <a:ext cx="7355840" cy="267547"/>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We are testing whether an employee’s </a:t>
          </a:r>
          <a:r>
            <a:rPr lang="en-IN" b="1"/>
            <a:t>likelihood of leaving the company (Attrition)</a:t>
          </a:r>
          <a:r>
            <a:rPr lang="en-IN"/>
            <a:t> is associated with their </a:t>
          </a:r>
          <a:r>
            <a:rPr lang="en-IN" b="1"/>
            <a:t>job role</a:t>
          </a:r>
          <a:r>
            <a:rPr lang="en-IN"/>
            <a:t>.</a:t>
          </a:r>
          <a:endParaRPr lang="en-GB" sz="1100"/>
        </a:p>
      </xdr:txBody>
    </xdr:sp>
    <xdr:clientData/>
  </xdr:twoCellAnchor>
  <xdr:twoCellAnchor>
    <xdr:from>
      <xdr:col>5</xdr:col>
      <xdr:colOff>1</xdr:colOff>
      <xdr:row>12</xdr:row>
      <xdr:rowOff>118533</xdr:rowOff>
    </xdr:from>
    <xdr:to>
      <xdr:col>7</xdr:col>
      <xdr:colOff>10161</xdr:colOff>
      <xdr:row>17</xdr:row>
      <xdr:rowOff>0</xdr:rowOff>
    </xdr:to>
    <xdr:sp macro="" textlink="">
      <xdr:nvSpPr>
        <xdr:cNvPr id="4" name="TextBox 3">
          <a:extLst>
            <a:ext uri="{FF2B5EF4-FFF2-40B4-BE49-F238E27FC236}">
              <a16:creationId xmlns:a16="http://schemas.microsoft.com/office/drawing/2014/main" id="{F994DCEE-2609-34E3-0DD3-A85A8A9F9CE8}"/>
            </a:ext>
          </a:extLst>
        </xdr:cNvPr>
        <xdr:cNvSpPr txBox="1"/>
      </xdr:nvSpPr>
      <xdr:spPr>
        <a:xfrm>
          <a:off x="5222241" y="2435013"/>
          <a:ext cx="3830320" cy="846667"/>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We used the </a:t>
          </a:r>
          <a:r>
            <a:rPr lang="en-IN" b="1"/>
            <a:t>Chi-Square Test of Independence</a:t>
          </a:r>
          <a:r>
            <a:rPr lang="en-IN"/>
            <a:t> because:</a:t>
          </a:r>
        </a:p>
        <a:p>
          <a:r>
            <a:rPr lang="en-IN"/>
            <a:t>Both Attrition and JobRole are </a:t>
          </a:r>
          <a:r>
            <a:rPr lang="en-IN" b="1"/>
            <a:t>categorical variables</a:t>
          </a:r>
          <a:endParaRPr lang="en-IN"/>
        </a:p>
        <a:p>
          <a:r>
            <a:rPr lang="en-IN"/>
            <a:t>We wanted to test whether attrition rates </a:t>
          </a:r>
          <a:r>
            <a:rPr lang="en-IN" b="1"/>
            <a:t>differ significantly across job roles</a:t>
          </a:r>
          <a:endParaRPr lang="en-IN"/>
        </a:p>
        <a:p>
          <a:endParaRPr lang="en-GB" sz="1100"/>
        </a:p>
      </xdr:txBody>
    </xdr:sp>
    <xdr:clientData/>
  </xdr:twoCellAnchor>
  <xdr:twoCellAnchor>
    <xdr:from>
      <xdr:col>8</xdr:col>
      <xdr:colOff>0</xdr:colOff>
      <xdr:row>41</xdr:row>
      <xdr:rowOff>16933</xdr:rowOff>
    </xdr:from>
    <xdr:to>
      <xdr:col>11</xdr:col>
      <xdr:colOff>10160</xdr:colOff>
      <xdr:row>46</xdr:row>
      <xdr:rowOff>0</xdr:rowOff>
    </xdr:to>
    <xdr:sp macro="" textlink="">
      <xdr:nvSpPr>
        <xdr:cNvPr id="5" name="TextBox 4">
          <a:extLst>
            <a:ext uri="{FF2B5EF4-FFF2-40B4-BE49-F238E27FC236}">
              <a16:creationId xmlns:a16="http://schemas.microsoft.com/office/drawing/2014/main" id="{BBD2ECB4-7911-6871-CE7A-6FBC3E4AD47D}"/>
            </a:ext>
          </a:extLst>
        </xdr:cNvPr>
        <xdr:cNvSpPr txBox="1"/>
      </xdr:nvSpPr>
      <xdr:spPr>
        <a:xfrm>
          <a:off x="10881360" y="7931573"/>
          <a:ext cx="3657600" cy="948267"/>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All assumptions for the Chi-Square test were met:</a:t>
          </a:r>
        </a:p>
        <a:p>
          <a:r>
            <a:rPr lang="en-IN"/>
            <a:t>Variables are categorical</a:t>
          </a:r>
        </a:p>
        <a:p>
          <a:r>
            <a:rPr lang="en-IN"/>
            <a:t>Observations are independent</a:t>
          </a:r>
        </a:p>
        <a:p>
          <a:r>
            <a:rPr lang="en-IN"/>
            <a:t>All expected cell frequencies are ≥ 5</a:t>
          </a:r>
        </a:p>
        <a:p>
          <a:endParaRPr lang="en-GB" sz="1100"/>
        </a:p>
      </xdr:txBody>
    </xdr:sp>
    <xdr:clientData/>
  </xdr:twoCellAnchor>
  <xdr:twoCellAnchor>
    <xdr:from>
      <xdr:col>8</xdr:col>
      <xdr:colOff>20320</xdr:colOff>
      <xdr:row>47</xdr:row>
      <xdr:rowOff>179494</xdr:rowOff>
    </xdr:from>
    <xdr:to>
      <xdr:col>13</xdr:col>
      <xdr:colOff>20319</xdr:colOff>
      <xdr:row>52</xdr:row>
      <xdr:rowOff>94826</xdr:rowOff>
    </xdr:to>
    <xdr:sp macro="" textlink="">
      <xdr:nvSpPr>
        <xdr:cNvPr id="6" name="TextBox 5">
          <a:extLst>
            <a:ext uri="{FF2B5EF4-FFF2-40B4-BE49-F238E27FC236}">
              <a16:creationId xmlns:a16="http://schemas.microsoft.com/office/drawing/2014/main" id="{3A6B1B22-DC7C-D5E7-9794-748A41521145}"/>
            </a:ext>
          </a:extLst>
        </xdr:cNvPr>
        <xdr:cNvSpPr txBox="1"/>
      </xdr:nvSpPr>
      <xdr:spPr>
        <a:xfrm>
          <a:off x="10901680" y="9252374"/>
          <a:ext cx="6055359" cy="880532"/>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The test result was </a:t>
          </a:r>
          <a:r>
            <a:rPr lang="en-IN" b="1"/>
            <a:t>statistically significant</a:t>
          </a:r>
          <a:r>
            <a:rPr lang="en-IN"/>
            <a:t> (Chi-square = 8.68, p = 0.0133), meaning we </a:t>
          </a:r>
          <a:r>
            <a:rPr lang="en-IN" b="1"/>
            <a:t>reject the null hypothesis</a:t>
          </a:r>
          <a:r>
            <a:rPr lang="en-IN"/>
            <a:t>.</a:t>
          </a:r>
          <a:br>
            <a:rPr lang="en-IN"/>
          </a:br>
          <a:r>
            <a:rPr lang="en-IN"/>
            <a:t>This suggests that </a:t>
          </a:r>
          <a:r>
            <a:rPr lang="en-IN" b="1"/>
            <a:t>attrition is not independent of job role</a:t>
          </a:r>
          <a:r>
            <a:rPr lang="en-IN"/>
            <a:t>  i.e., some roles have </a:t>
          </a:r>
          <a:r>
            <a:rPr lang="en-IN" b="1"/>
            <a:t>higher or lower attrition</a:t>
          </a:r>
          <a:r>
            <a:rPr lang="en-IN"/>
            <a:t> than others.</a:t>
          </a:r>
          <a:endParaRPr lang="en-GB" sz="1100"/>
        </a:p>
      </xdr:txBody>
    </xdr:sp>
    <xdr:clientData/>
  </xdr:twoCellAnchor>
  <xdr:twoCellAnchor>
    <xdr:from>
      <xdr:col>8</xdr:col>
      <xdr:colOff>10160</xdr:colOff>
      <xdr:row>54</xdr:row>
      <xdr:rowOff>10160</xdr:rowOff>
    </xdr:from>
    <xdr:to>
      <xdr:col>12</xdr:col>
      <xdr:colOff>1290319</xdr:colOff>
      <xdr:row>59</xdr:row>
      <xdr:rowOff>60960</xdr:rowOff>
    </xdr:to>
    <xdr:sp macro="" textlink="">
      <xdr:nvSpPr>
        <xdr:cNvPr id="7" name="TextBox 6">
          <a:extLst>
            <a:ext uri="{FF2B5EF4-FFF2-40B4-BE49-F238E27FC236}">
              <a16:creationId xmlns:a16="http://schemas.microsoft.com/office/drawing/2014/main" id="{82F19548-6AF7-AB10-B22F-E4B66B270828}"/>
            </a:ext>
          </a:extLst>
        </xdr:cNvPr>
        <xdr:cNvSpPr txBox="1"/>
      </xdr:nvSpPr>
      <xdr:spPr>
        <a:xfrm>
          <a:off x="10891520" y="10647680"/>
          <a:ext cx="6035039" cy="10160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To explore where the differences lie, we applied the </a:t>
          </a:r>
          <a:r>
            <a:rPr lang="en-IN" b="1"/>
            <a:t>Marascuilo procedure</a:t>
          </a:r>
          <a:r>
            <a:rPr lang="en-IN"/>
            <a:t>, which showed that:</a:t>
          </a:r>
        </a:p>
        <a:p>
          <a:r>
            <a:rPr lang="en-IN" b="1"/>
            <a:t>Laboratory Technicians</a:t>
          </a:r>
          <a:r>
            <a:rPr lang="en-IN"/>
            <a:t> have significantly higher attrition compared to </a:t>
          </a:r>
          <a:r>
            <a:rPr lang="en-IN" b="1"/>
            <a:t>Research Scientists</a:t>
          </a:r>
          <a:endParaRPr lang="en-IN"/>
        </a:p>
        <a:p>
          <a:r>
            <a:rPr lang="en-IN"/>
            <a:t>Other pairwise differences were not significant</a:t>
          </a:r>
        </a:p>
        <a:p>
          <a:r>
            <a:rPr lang="en-IN"/>
            <a:t>This insight can guide IBM’s HR team to </a:t>
          </a:r>
          <a:r>
            <a:rPr lang="en-IN" b="1"/>
            <a:t>prioritise retention efforts</a:t>
          </a:r>
          <a:r>
            <a:rPr lang="en-IN"/>
            <a:t> for roles with higher attrition, particularly </a:t>
          </a:r>
          <a:r>
            <a:rPr lang="en-IN" b="1"/>
            <a:t>Lab Technicians</a:t>
          </a:r>
          <a:r>
            <a:rPr lang="en-IN"/>
            <a:t>.</a:t>
          </a:r>
        </a:p>
        <a:p>
          <a:endParaRPr lang="en-GB" sz="1100"/>
        </a:p>
      </xdr:txBody>
    </xdr:sp>
    <xdr:clientData/>
  </xdr:twoCellAnchor>
  <xdr:twoCellAnchor>
    <xdr:from>
      <xdr:col>7</xdr:col>
      <xdr:colOff>1808480</xdr:colOff>
      <xdr:row>12</xdr:row>
      <xdr:rowOff>132080</xdr:rowOff>
    </xdr:from>
    <xdr:to>
      <xdr:col>13</xdr:col>
      <xdr:colOff>1209040</xdr:colOff>
      <xdr:row>17</xdr:row>
      <xdr:rowOff>10160</xdr:rowOff>
    </xdr:to>
    <xdr:sp macro="" textlink="">
      <xdr:nvSpPr>
        <xdr:cNvPr id="8" name="TextBox 7">
          <a:extLst>
            <a:ext uri="{FF2B5EF4-FFF2-40B4-BE49-F238E27FC236}">
              <a16:creationId xmlns:a16="http://schemas.microsoft.com/office/drawing/2014/main" id="{AE59F794-2D62-2F72-966A-537CE8FE4E81}"/>
            </a:ext>
          </a:extLst>
        </xdr:cNvPr>
        <xdr:cNvSpPr txBox="1"/>
      </xdr:nvSpPr>
      <xdr:spPr>
        <a:xfrm>
          <a:off x="10850880" y="2448560"/>
          <a:ext cx="7294880" cy="84328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Null Hypothesis (H₀):</a:t>
          </a:r>
          <a:r>
            <a:rPr lang="en-IN"/>
            <a:t> Attrition and Job Role are </a:t>
          </a:r>
          <a:r>
            <a:rPr lang="en-IN" b="1"/>
            <a:t>independent</a:t>
          </a:r>
          <a:r>
            <a:rPr lang="en-IN"/>
            <a:t>. That is, the likelihood of an employee leaving IBM does </a:t>
          </a:r>
          <a:r>
            <a:rPr lang="en-IN" b="1"/>
            <a:t>not depend</a:t>
          </a:r>
          <a:r>
            <a:rPr lang="en-IN"/>
            <a:t> on their job role.</a:t>
          </a:r>
        </a:p>
        <a:p>
          <a:r>
            <a:rPr lang="en-IN" b="1"/>
            <a:t>Alternative Hypothesis (H₁):</a:t>
          </a:r>
          <a:r>
            <a:rPr lang="en-IN"/>
            <a:t> Attrition and Job Role are </a:t>
          </a:r>
          <a:r>
            <a:rPr lang="en-IN" b="1"/>
            <a:t>not independent</a:t>
          </a:r>
          <a:r>
            <a:rPr lang="en-IN"/>
            <a:t>. That is, some job roles have </a:t>
          </a:r>
          <a:r>
            <a:rPr lang="en-IN" b="1"/>
            <a:t>higher or lower attrition</a:t>
          </a:r>
          <a:r>
            <a:rPr lang="en-IN"/>
            <a:t> than others.</a:t>
          </a:r>
        </a:p>
        <a:p>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12700</xdr:colOff>
      <xdr:row>1</xdr:row>
      <xdr:rowOff>76200</xdr:rowOff>
    </xdr:from>
    <xdr:to>
      <xdr:col>16</xdr:col>
      <xdr:colOff>1117600</xdr:colOff>
      <xdr:row>3</xdr:row>
      <xdr:rowOff>152400</xdr:rowOff>
    </xdr:to>
    <xdr:sp macro="" textlink="">
      <xdr:nvSpPr>
        <xdr:cNvPr id="2" name="TextBox 1">
          <a:extLst>
            <a:ext uri="{FF2B5EF4-FFF2-40B4-BE49-F238E27FC236}">
              <a16:creationId xmlns:a16="http://schemas.microsoft.com/office/drawing/2014/main" id="{C96FF4C9-23AF-0FA6-C3C6-AFA61DAB692D}"/>
            </a:ext>
          </a:extLst>
        </xdr:cNvPr>
        <xdr:cNvSpPr txBox="1"/>
      </xdr:nvSpPr>
      <xdr:spPr>
        <a:xfrm>
          <a:off x="16675100" y="266700"/>
          <a:ext cx="7899400" cy="4572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In this question, we explored whether </a:t>
          </a:r>
          <a:r>
            <a:rPr lang="en-IN" b="1"/>
            <a:t>Job Satisfaction</a:t>
          </a:r>
          <a:r>
            <a:rPr lang="en-IN"/>
            <a:t> is influenced by both </a:t>
          </a:r>
          <a:r>
            <a:rPr lang="en-IN" b="1"/>
            <a:t>Job Role</a:t>
          </a:r>
          <a:r>
            <a:rPr lang="en-IN"/>
            <a:t> (JobRole) and whether the employee works </a:t>
          </a:r>
          <a:r>
            <a:rPr lang="en-IN" b="1"/>
            <a:t>Overtime</a:t>
          </a:r>
          <a:r>
            <a:rPr lang="en-IN"/>
            <a:t> (OverTime).</a:t>
          </a:r>
          <a:endParaRPr lang="en-GB" sz="1100"/>
        </a:p>
      </xdr:txBody>
    </xdr:sp>
    <xdr:clientData/>
  </xdr:twoCellAnchor>
  <xdr:twoCellAnchor>
    <xdr:from>
      <xdr:col>12</xdr:col>
      <xdr:colOff>0</xdr:colOff>
      <xdr:row>5</xdr:row>
      <xdr:rowOff>0</xdr:rowOff>
    </xdr:from>
    <xdr:to>
      <xdr:col>15</xdr:col>
      <xdr:colOff>12700</xdr:colOff>
      <xdr:row>9</xdr:row>
      <xdr:rowOff>76200</xdr:rowOff>
    </xdr:to>
    <xdr:sp macro="" textlink="">
      <xdr:nvSpPr>
        <xdr:cNvPr id="5" name="TextBox 4">
          <a:extLst>
            <a:ext uri="{FF2B5EF4-FFF2-40B4-BE49-F238E27FC236}">
              <a16:creationId xmlns:a16="http://schemas.microsoft.com/office/drawing/2014/main" id="{AD21E0C4-1BCA-C74E-AB33-B98474CB056C}"/>
            </a:ext>
          </a:extLst>
        </xdr:cNvPr>
        <xdr:cNvSpPr txBox="1"/>
      </xdr:nvSpPr>
      <xdr:spPr>
        <a:xfrm>
          <a:off x="16662400" y="1016000"/>
          <a:ext cx="5549900" cy="8382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 </a:t>
          </a:r>
          <a:r>
            <a:rPr lang="en-IN" b="1"/>
            <a:t>Two-Way ANOVA with replication</a:t>
          </a:r>
          <a:r>
            <a:rPr lang="en-IN"/>
            <a:t> was used because:</a:t>
          </a:r>
        </a:p>
        <a:p>
          <a:r>
            <a:rPr lang="en-IN"/>
            <a:t>We are testing the effects of </a:t>
          </a:r>
          <a:r>
            <a:rPr lang="en-IN" b="1"/>
            <a:t>two categorical variables</a:t>
          </a:r>
          <a:r>
            <a:rPr lang="en-IN"/>
            <a:t> (JobRole and OverTime)</a:t>
          </a:r>
        </a:p>
        <a:p>
          <a:r>
            <a:rPr lang="en-IN"/>
            <a:t>The outcome variable, JobSatisfaction, is </a:t>
          </a:r>
          <a:r>
            <a:rPr lang="en-IN" b="1"/>
            <a:t>numerical</a:t>
          </a:r>
          <a:r>
            <a:rPr lang="en-IN"/>
            <a:t> (scale 1 to 4)</a:t>
          </a:r>
        </a:p>
        <a:p>
          <a:r>
            <a:rPr lang="en-IN"/>
            <a:t>We are also interested in whether there is an </a:t>
          </a:r>
          <a:r>
            <a:rPr lang="en-IN" b="1"/>
            <a:t>interaction effect</a:t>
          </a:r>
          <a:r>
            <a:rPr lang="en-IN"/>
            <a:t> between Job Role and Overtime</a:t>
          </a:r>
        </a:p>
        <a:p>
          <a:endParaRPr lang="en-GB" sz="1100"/>
        </a:p>
      </xdr:txBody>
    </xdr:sp>
    <xdr:clientData/>
  </xdr:twoCellAnchor>
  <xdr:twoCellAnchor>
    <xdr:from>
      <xdr:col>12</xdr:col>
      <xdr:colOff>12700</xdr:colOff>
      <xdr:row>12</xdr:row>
      <xdr:rowOff>76200</xdr:rowOff>
    </xdr:from>
    <xdr:to>
      <xdr:col>15</xdr:col>
      <xdr:colOff>12700</xdr:colOff>
      <xdr:row>16</xdr:row>
      <xdr:rowOff>177800</xdr:rowOff>
    </xdr:to>
    <xdr:sp macro="" textlink="">
      <xdr:nvSpPr>
        <xdr:cNvPr id="6" name="TextBox 5">
          <a:extLst>
            <a:ext uri="{FF2B5EF4-FFF2-40B4-BE49-F238E27FC236}">
              <a16:creationId xmlns:a16="http://schemas.microsoft.com/office/drawing/2014/main" id="{6DFD3054-B97F-2204-2D14-F7A7E3076634}"/>
            </a:ext>
          </a:extLst>
        </xdr:cNvPr>
        <xdr:cNvSpPr txBox="1"/>
      </xdr:nvSpPr>
      <xdr:spPr>
        <a:xfrm>
          <a:off x="16675100" y="2425700"/>
          <a:ext cx="5537200" cy="8636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Assumptions for Two-Way ANOVA</a:t>
          </a:r>
          <a:r>
            <a:rPr lang="en-IN"/>
            <a:t> were reasonably satisfied:</a:t>
          </a:r>
        </a:p>
        <a:p>
          <a:r>
            <a:rPr lang="en-IN"/>
            <a:t>Job Satisfaction is measured on a </a:t>
          </a:r>
          <a:r>
            <a:rPr lang="en-IN" b="1"/>
            <a:t>numeric scale</a:t>
          </a:r>
          <a:endParaRPr lang="en-IN"/>
        </a:p>
        <a:p>
          <a:r>
            <a:rPr lang="en-IN"/>
            <a:t>Each combination of JobRole and OverTime has </a:t>
          </a:r>
          <a:r>
            <a:rPr lang="en-IN" b="1"/>
            <a:t>equal group sizes (n = 20)</a:t>
          </a:r>
          <a:endParaRPr lang="en-IN"/>
        </a:p>
        <a:p>
          <a:r>
            <a:rPr lang="en-IN"/>
            <a:t>Groups appear approximately </a:t>
          </a:r>
          <a:r>
            <a:rPr lang="en-IN" b="1"/>
            <a:t>normally distributed</a:t>
          </a:r>
          <a:r>
            <a:rPr lang="en-IN"/>
            <a:t>, and variances are not drastically different</a:t>
          </a:r>
        </a:p>
        <a:p>
          <a:endParaRPr lang="en-GB" sz="1100"/>
        </a:p>
      </xdr:txBody>
    </xdr:sp>
    <xdr:clientData/>
  </xdr:twoCellAnchor>
  <xdr:twoCellAnchor>
    <xdr:from>
      <xdr:col>12</xdr:col>
      <xdr:colOff>38100</xdr:colOff>
      <xdr:row>51</xdr:row>
      <xdr:rowOff>50800</xdr:rowOff>
    </xdr:from>
    <xdr:to>
      <xdr:col>13</xdr:col>
      <xdr:colOff>876300</xdr:colOff>
      <xdr:row>58</xdr:row>
      <xdr:rowOff>101600</xdr:rowOff>
    </xdr:to>
    <xdr:sp macro="" textlink="">
      <xdr:nvSpPr>
        <xdr:cNvPr id="7" name="TextBox 6">
          <a:extLst>
            <a:ext uri="{FF2B5EF4-FFF2-40B4-BE49-F238E27FC236}">
              <a16:creationId xmlns:a16="http://schemas.microsoft.com/office/drawing/2014/main" id="{C5E8AC43-2130-1FF9-5978-624A6274E472}"/>
            </a:ext>
          </a:extLst>
        </xdr:cNvPr>
        <xdr:cNvSpPr txBox="1"/>
      </xdr:nvSpPr>
      <xdr:spPr>
        <a:xfrm>
          <a:off x="16700500" y="9944100"/>
          <a:ext cx="3086100" cy="13843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Results Summary:</a:t>
          </a:r>
          <a:endParaRPr lang="en-IN"/>
        </a:p>
        <a:p>
          <a:r>
            <a:rPr lang="en-IN" b="1"/>
            <a:t>Main Effect of Overtime:</a:t>
          </a:r>
          <a:endParaRPr lang="en-IN"/>
        </a:p>
        <a:p>
          <a:pPr lvl="1"/>
          <a:r>
            <a:rPr lang="en-IN"/>
            <a:t>F = 0.4852, p = 0.487 → Not Significant</a:t>
          </a:r>
        </a:p>
        <a:p>
          <a:r>
            <a:rPr lang="en-IN" b="1"/>
            <a:t>Main Effect of Job Role:</a:t>
          </a:r>
          <a:endParaRPr lang="en-IN"/>
        </a:p>
        <a:p>
          <a:pPr lvl="1"/>
          <a:r>
            <a:rPr lang="en-IN"/>
            <a:t>F = 3.9121, p = 0.0227 → </a:t>
          </a:r>
          <a:r>
            <a:rPr lang="en-IN" b="1"/>
            <a:t>Significant</a:t>
          </a:r>
          <a:endParaRPr lang="en-IN"/>
        </a:p>
        <a:p>
          <a:r>
            <a:rPr lang="en-IN" b="1"/>
            <a:t>Interaction Effect (Job Role × Overtime):</a:t>
          </a:r>
          <a:endParaRPr lang="en-IN"/>
        </a:p>
        <a:p>
          <a:pPr lvl="1"/>
          <a:r>
            <a:rPr lang="en-IN"/>
            <a:t>F = 0.9401, p = 0.3938 → Not Significant</a:t>
          </a:r>
        </a:p>
        <a:p>
          <a:endParaRPr lang="en-GB" sz="1100"/>
        </a:p>
      </xdr:txBody>
    </xdr:sp>
    <xdr:clientData/>
  </xdr:twoCellAnchor>
  <xdr:twoCellAnchor>
    <xdr:from>
      <xdr:col>12</xdr:col>
      <xdr:colOff>0</xdr:colOff>
      <xdr:row>60</xdr:row>
      <xdr:rowOff>50800</xdr:rowOff>
    </xdr:from>
    <xdr:to>
      <xdr:col>17</xdr:col>
      <xdr:colOff>12700</xdr:colOff>
      <xdr:row>63</xdr:row>
      <xdr:rowOff>152400</xdr:rowOff>
    </xdr:to>
    <xdr:sp macro="" textlink="">
      <xdr:nvSpPr>
        <xdr:cNvPr id="8" name="TextBox 7">
          <a:extLst>
            <a:ext uri="{FF2B5EF4-FFF2-40B4-BE49-F238E27FC236}">
              <a16:creationId xmlns:a16="http://schemas.microsoft.com/office/drawing/2014/main" id="{2184B1AC-AE90-AA00-E588-3C84719C1A74}"/>
            </a:ext>
          </a:extLst>
        </xdr:cNvPr>
        <xdr:cNvSpPr txBox="1"/>
      </xdr:nvSpPr>
      <xdr:spPr>
        <a:xfrm>
          <a:off x="16662400" y="11658600"/>
          <a:ext cx="7937500" cy="6731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Job Satisfaction differs significantly across Job Roles</a:t>
          </a:r>
          <a:r>
            <a:rPr lang="en-IN"/>
            <a:t>, indicating that the type of role influences how satisfied employees feel</a:t>
          </a:r>
        </a:p>
        <a:p>
          <a:r>
            <a:rPr lang="en-IN" b="1"/>
            <a:t>Overtime alone does not significantly affect Job Satisfaction</a:t>
          </a:r>
          <a:endParaRPr lang="en-IN"/>
        </a:p>
        <a:p>
          <a:r>
            <a:rPr lang="en-IN"/>
            <a:t>There is </a:t>
          </a:r>
          <a:r>
            <a:rPr lang="en-IN" b="1"/>
            <a:t>no significant interaction</a:t>
          </a:r>
          <a:r>
            <a:rPr lang="en-IN"/>
            <a:t> between Overtime and Job Role, meaning the effect of Overtime on satisfaction is </a:t>
          </a:r>
          <a:r>
            <a:rPr lang="en-IN" b="1"/>
            <a:t>similar across roles</a:t>
          </a:r>
          <a:endParaRPr lang="en-IN"/>
        </a:p>
        <a:p>
          <a:endParaRPr lang="en-GB" sz="1100"/>
        </a:p>
      </xdr:txBody>
    </xdr:sp>
    <xdr:clientData/>
  </xdr:twoCellAnchor>
  <xdr:twoCellAnchor>
    <xdr:from>
      <xdr:col>4</xdr:col>
      <xdr:colOff>12700</xdr:colOff>
      <xdr:row>20</xdr:row>
      <xdr:rowOff>101600</xdr:rowOff>
    </xdr:from>
    <xdr:to>
      <xdr:col>6</xdr:col>
      <xdr:colOff>0</xdr:colOff>
      <xdr:row>27</xdr:row>
      <xdr:rowOff>101600</xdr:rowOff>
    </xdr:to>
    <xdr:sp macro="" textlink="">
      <xdr:nvSpPr>
        <xdr:cNvPr id="9" name="TextBox 8">
          <a:extLst>
            <a:ext uri="{FF2B5EF4-FFF2-40B4-BE49-F238E27FC236}">
              <a16:creationId xmlns:a16="http://schemas.microsoft.com/office/drawing/2014/main" id="{9CDAAA13-D77E-B8A8-C7DC-BFDEE9B7875E}"/>
            </a:ext>
          </a:extLst>
        </xdr:cNvPr>
        <xdr:cNvSpPr txBox="1"/>
      </xdr:nvSpPr>
      <xdr:spPr>
        <a:xfrm>
          <a:off x="5499100" y="3975100"/>
          <a:ext cx="3251200" cy="13970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The </a:t>
          </a:r>
          <a:r>
            <a:rPr lang="en-IN" b="1"/>
            <a:t>descriptive statistics</a:t>
          </a:r>
          <a:r>
            <a:rPr lang="en-IN"/>
            <a:t> summarise the distribution of the JobSatisfaction scores for all employees.</a:t>
          </a:r>
        </a:p>
        <a:p>
          <a:r>
            <a:rPr lang="en-IN"/>
            <a:t>The </a:t>
          </a:r>
          <a:r>
            <a:rPr lang="en-IN" b="1"/>
            <a:t>mean score</a:t>
          </a:r>
          <a:r>
            <a:rPr lang="en-IN"/>
            <a:t> is 2.75, with a </a:t>
          </a:r>
          <a:r>
            <a:rPr lang="en-IN" b="1"/>
            <a:t>standard deviation</a:t>
          </a:r>
          <a:r>
            <a:rPr lang="en-IN"/>
            <a:t> of 1.07, indicating moderate satisfaction levels and some variation in responses.</a:t>
          </a:r>
        </a:p>
        <a:p>
          <a:r>
            <a:rPr lang="en-IN"/>
            <a:t>The </a:t>
          </a:r>
          <a:r>
            <a:rPr lang="en-IN" b="1"/>
            <a:t>median and mode</a:t>
          </a:r>
          <a:r>
            <a:rPr lang="en-IN"/>
            <a:t> are both 3, suggesting the most common and central score is average satisfaction.</a:t>
          </a:r>
        </a:p>
        <a:p>
          <a:endParaRPr lang="en-GB" sz="1100"/>
        </a:p>
      </xdr:txBody>
    </xdr:sp>
    <xdr:clientData/>
  </xdr:twoCellAnchor>
  <xdr:twoCellAnchor>
    <xdr:from>
      <xdr:col>4</xdr:col>
      <xdr:colOff>520700</xdr:colOff>
      <xdr:row>37</xdr:row>
      <xdr:rowOff>177800</xdr:rowOff>
    </xdr:from>
    <xdr:to>
      <xdr:col>7</xdr:col>
      <xdr:colOff>1003300</xdr:colOff>
      <xdr:row>47</xdr:row>
      <xdr:rowOff>165100</xdr:rowOff>
    </xdr:to>
    <xdr:sp macro="" textlink="">
      <xdr:nvSpPr>
        <xdr:cNvPr id="10" name="TextBox 9">
          <a:extLst>
            <a:ext uri="{FF2B5EF4-FFF2-40B4-BE49-F238E27FC236}">
              <a16:creationId xmlns:a16="http://schemas.microsoft.com/office/drawing/2014/main" id="{5E11B40C-04BE-8C5E-0EC4-21548D9BDD12}"/>
            </a:ext>
          </a:extLst>
        </xdr:cNvPr>
        <xdr:cNvSpPr txBox="1"/>
      </xdr:nvSpPr>
      <xdr:spPr>
        <a:xfrm>
          <a:off x="6007100" y="7378700"/>
          <a:ext cx="4572000" cy="19050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This table was created to </a:t>
          </a:r>
          <a:r>
            <a:rPr lang="en-IN" b="1"/>
            <a:t>organise the JobSatisfaction scores</a:t>
          </a:r>
          <a:r>
            <a:rPr lang="en-IN"/>
            <a:t> based on two categorical factors: JobRole and OverTime.</a:t>
          </a:r>
        </a:p>
        <a:p>
          <a:r>
            <a:rPr lang="en-IN"/>
            <a:t>The </a:t>
          </a:r>
          <a:r>
            <a:rPr lang="en-IN" b="1"/>
            <a:t>columns</a:t>
          </a:r>
          <a:r>
            <a:rPr lang="en-IN"/>
            <a:t> represent different JobRole groups: Research Scientist, Laboratory Technician, Research Director</a:t>
          </a:r>
        </a:p>
        <a:p>
          <a:r>
            <a:rPr lang="en-IN"/>
            <a:t>The </a:t>
          </a:r>
          <a:r>
            <a:rPr lang="en-IN" b="1"/>
            <a:t>rows</a:t>
          </a:r>
          <a:r>
            <a:rPr lang="en-IN"/>
            <a:t> are split based on OverTime status: “YES” and “NO”</a:t>
          </a:r>
        </a:p>
        <a:p>
          <a:r>
            <a:rPr lang="en-IN"/>
            <a:t>This structured format was required to perform a </a:t>
          </a:r>
          <a:r>
            <a:rPr lang="en-IN" b="1"/>
            <a:t>Two-Way ANOVA with replication</a:t>
          </a:r>
          <a:r>
            <a:rPr lang="en-IN"/>
            <a:t>, which compares:</a:t>
          </a:r>
        </a:p>
        <a:p>
          <a:r>
            <a:rPr lang="en-IN"/>
            <a:t>The </a:t>
          </a:r>
          <a:r>
            <a:rPr lang="en-IN" b="1"/>
            <a:t>main effect</a:t>
          </a:r>
          <a:r>
            <a:rPr lang="en-IN"/>
            <a:t> of JobRole</a:t>
          </a:r>
        </a:p>
        <a:p>
          <a:r>
            <a:rPr lang="en-IN"/>
            <a:t>The </a:t>
          </a:r>
          <a:r>
            <a:rPr lang="en-IN" b="1"/>
            <a:t>main effect</a:t>
          </a:r>
          <a:r>
            <a:rPr lang="en-IN"/>
            <a:t> of OverTime</a:t>
          </a:r>
        </a:p>
        <a:p>
          <a:r>
            <a:rPr lang="en-IN"/>
            <a:t>The </a:t>
          </a:r>
          <a:r>
            <a:rPr lang="en-IN" b="1"/>
            <a:t>interaction effect</a:t>
          </a:r>
          <a:r>
            <a:rPr lang="en-IN"/>
            <a:t> between the two</a:t>
          </a:r>
        </a:p>
        <a:p>
          <a:endParaRPr lang="en-GB"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42807</xdr:colOff>
      <xdr:row>1</xdr:row>
      <xdr:rowOff>156967</xdr:rowOff>
    </xdr:from>
    <xdr:to>
      <xdr:col>14</xdr:col>
      <xdr:colOff>14270</xdr:colOff>
      <xdr:row>10</xdr:row>
      <xdr:rowOff>128427</xdr:rowOff>
    </xdr:to>
    <xdr:sp macro="" textlink="">
      <xdr:nvSpPr>
        <xdr:cNvPr id="2" name="TextBox 1">
          <a:extLst>
            <a:ext uri="{FF2B5EF4-FFF2-40B4-BE49-F238E27FC236}">
              <a16:creationId xmlns:a16="http://schemas.microsoft.com/office/drawing/2014/main" id="{8A0D0B96-285A-B213-8C19-2A5387DAA285}"/>
            </a:ext>
          </a:extLst>
        </xdr:cNvPr>
        <xdr:cNvSpPr txBox="1"/>
      </xdr:nvSpPr>
      <xdr:spPr>
        <a:xfrm>
          <a:off x="11144605" y="342473"/>
          <a:ext cx="8247867" cy="164101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In this question, we assessed whether there was a </a:t>
          </a:r>
          <a:r>
            <a:rPr lang="en-IN" b="1"/>
            <a:t>significant change in Job Satisfaction</a:t>
          </a:r>
          <a:r>
            <a:rPr lang="en-IN"/>
            <a:t> among employees who participated in an engagement program.</a:t>
          </a:r>
        </a:p>
        <a:p>
          <a:r>
            <a:rPr lang="en-IN"/>
            <a:t>Since each participant’s satisfaction was measured </a:t>
          </a:r>
          <a:r>
            <a:rPr lang="en-IN" b="1"/>
            <a:t>twice</a:t>
          </a:r>
          <a:r>
            <a:rPr lang="en-IN"/>
            <a:t>  in 2023 and 2024 </a:t>
          </a:r>
          <a:r>
            <a:rPr lang="en-IN" baseline="0"/>
            <a:t> </a:t>
          </a:r>
          <a:r>
            <a:rPr lang="en-IN"/>
            <a:t> we applied a </a:t>
          </a:r>
          <a:r>
            <a:rPr lang="en-IN" b="1"/>
            <a:t>paired samples t-test</a:t>
          </a:r>
          <a:r>
            <a:rPr lang="en-IN"/>
            <a:t> (also called a dependent samples t-test).</a:t>
          </a:r>
        </a:p>
        <a:p>
          <a:br>
            <a:rPr lang="en-IN"/>
          </a:br>
          <a:r>
            <a:rPr lang="en-IN"/>
            <a:t>This test is appropriate because:</a:t>
          </a:r>
        </a:p>
        <a:p>
          <a:r>
            <a:rPr lang="en-IN"/>
            <a:t>The same individuals were measured at two time points (pre and post program)</a:t>
          </a:r>
        </a:p>
        <a:p>
          <a:r>
            <a:rPr lang="en-IN"/>
            <a:t>The outcome variable, JobSatisfaction, is </a:t>
          </a:r>
          <a:r>
            <a:rPr lang="en-IN" b="1"/>
            <a:t>continuous</a:t>
          </a:r>
          <a:endParaRPr lang="en-IN"/>
        </a:p>
        <a:p>
          <a:endParaRPr lang="en-GB" sz="1100"/>
        </a:p>
      </xdr:txBody>
    </xdr:sp>
    <xdr:clientData/>
  </xdr:twoCellAnchor>
  <xdr:twoCellAnchor>
    <xdr:from>
      <xdr:col>8</xdr:col>
      <xdr:colOff>0</xdr:colOff>
      <xdr:row>39</xdr:row>
      <xdr:rowOff>156967</xdr:rowOff>
    </xdr:from>
    <xdr:to>
      <xdr:col>12</xdr:col>
      <xdr:colOff>28540</xdr:colOff>
      <xdr:row>45</xdr:row>
      <xdr:rowOff>57079</xdr:rowOff>
    </xdr:to>
    <xdr:sp macro="" textlink="">
      <xdr:nvSpPr>
        <xdr:cNvPr id="3" name="TextBox 2">
          <a:extLst>
            <a:ext uri="{FF2B5EF4-FFF2-40B4-BE49-F238E27FC236}">
              <a16:creationId xmlns:a16="http://schemas.microsoft.com/office/drawing/2014/main" id="{8AE8BF59-00BE-B434-E163-E92950CAD8CB}"/>
            </a:ext>
          </a:extLst>
        </xdr:cNvPr>
        <xdr:cNvSpPr txBox="1"/>
      </xdr:nvSpPr>
      <xdr:spPr>
        <a:xfrm>
          <a:off x="11101798" y="7548652"/>
          <a:ext cx="6649663" cy="101314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 </a:t>
          </a:r>
          <a:r>
            <a:rPr lang="en-IN" b="1"/>
            <a:t>paired samples t-test</a:t>
          </a:r>
          <a:r>
            <a:rPr lang="en-IN"/>
            <a:t> was conducted to assess whether there was a </a:t>
          </a:r>
          <a:r>
            <a:rPr lang="en-IN" b="1"/>
            <a:t>significant change in Job Satisfaction</a:t>
          </a:r>
          <a:r>
            <a:rPr lang="en-IN"/>
            <a:t> for employees between </a:t>
          </a:r>
          <a:r>
            <a:rPr lang="en-IN" b="1"/>
            <a:t>2023 and 2024</a:t>
          </a:r>
          <a:r>
            <a:rPr lang="en-IN"/>
            <a:t>, after an engagement program. Since the </a:t>
          </a:r>
          <a:r>
            <a:rPr lang="en-IN" b="1"/>
            <a:t>same participants</a:t>
          </a:r>
          <a:r>
            <a:rPr lang="en-IN"/>
            <a:t> were measured at two different time points, this test was appropriate for detecting changes over time within individuals.</a:t>
          </a:r>
        </a:p>
        <a:p>
          <a:r>
            <a:rPr lang="en-IN"/>
            <a:t>A </a:t>
          </a:r>
          <a:r>
            <a:rPr lang="en-IN" b="1"/>
            <a:t>paired t-test</a:t>
          </a:r>
          <a:r>
            <a:rPr lang="en-IN"/>
            <a:t> compares the </a:t>
          </a:r>
          <a:r>
            <a:rPr lang="en-IN" b="1"/>
            <a:t>mean of the differences</a:t>
          </a:r>
          <a:r>
            <a:rPr lang="en-IN"/>
            <a:t> within the same group</a:t>
          </a:r>
          <a:endParaRPr lang="en-GB" sz="1100"/>
        </a:p>
      </xdr:txBody>
    </xdr:sp>
    <xdr:clientData/>
  </xdr:twoCellAnchor>
  <xdr:oneCellAnchor>
    <xdr:from>
      <xdr:col>8</xdr:col>
      <xdr:colOff>428090</xdr:colOff>
      <xdr:row>48</xdr:row>
      <xdr:rowOff>28539</xdr:rowOff>
    </xdr:from>
    <xdr:ext cx="184731" cy="264431"/>
    <xdr:sp macro="" textlink="">
      <xdr:nvSpPr>
        <xdr:cNvPr id="4" name="TextBox 3">
          <a:extLst>
            <a:ext uri="{FF2B5EF4-FFF2-40B4-BE49-F238E27FC236}">
              <a16:creationId xmlns:a16="http://schemas.microsoft.com/office/drawing/2014/main" id="{FEA2112B-F7D2-EBD6-1139-BC17B0FACFAB}"/>
            </a:ext>
          </a:extLst>
        </xdr:cNvPr>
        <xdr:cNvSpPr txBox="1"/>
      </xdr:nvSpPr>
      <xdr:spPr>
        <a:xfrm>
          <a:off x="11529888" y="9089775"/>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7</xdr:col>
      <xdr:colOff>813372</xdr:colOff>
      <xdr:row>47</xdr:row>
      <xdr:rowOff>57079</xdr:rowOff>
    </xdr:from>
    <xdr:to>
      <xdr:col>11</xdr:col>
      <xdr:colOff>28540</xdr:colOff>
      <xdr:row>51</xdr:row>
      <xdr:rowOff>42809</xdr:rowOff>
    </xdr:to>
    <xdr:sp macro="" textlink="">
      <xdr:nvSpPr>
        <xdr:cNvPr id="5" name="TextBox 4">
          <a:extLst>
            <a:ext uri="{FF2B5EF4-FFF2-40B4-BE49-F238E27FC236}">
              <a16:creationId xmlns:a16="http://schemas.microsoft.com/office/drawing/2014/main" id="{427488DD-AFAF-FB14-AEC3-372BBB1EF6D5}"/>
            </a:ext>
          </a:extLst>
        </xdr:cNvPr>
        <xdr:cNvSpPr txBox="1"/>
      </xdr:nvSpPr>
      <xdr:spPr>
        <a:xfrm>
          <a:off x="11087529" y="8932809"/>
          <a:ext cx="5836292" cy="727753"/>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t-statistic = 2.45</a:t>
          </a:r>
          <a:r>
            <a:rPr lang="en-IN"/>
            <a:t>, </a:t>
          </a:r>
          <a:r>
            <a:rPr lang="en-IN" b="1"/>
            <a:t>p-value = 0.02</a:t>
          </a:r>
          <a:endParaRPr lang="en-IN"/>
        </a:p>
        <a:p>
          <a:r>
            <a:rPr lang="en-IN"/>
            <a:t>Since p &lt; 0.05, we </a:t>
          </a:r>
          <a:r>
            <a:rPr lang="en-IN" b="1"/>
            <a:t>reject the null hypothesis</a:t>
          </a:r>
          <a:endParaRPr lang="en-IN"/>
        </a:p>
        <a:p>
          <a:r>
            <a:rPr lang="en-IN"/>
            <a:t>This indicates a </a:t>
          </a:r>
          <a:r>
            <a:rPr lang="en-IN" b="1"/>
            <a:t>statistically significant increase</a:t>
          </a:r>
          <a:r>
            <a:rPr lang="en-IN"/>
            <a:t> in satisfaction in 2024</a:t>
          </a:r>
        </a:p>
        <a:p>
          <a:endParaRPr lang="en-GB" sz="1100"/>
        </a:p>
      </xdr:txBody>
    </xdr:sp>
    <xdr:clientData/>
  </xdr:twoCellAnchor>
  <xdr:twoCellAnchor>
    <xdr:from>
      <xdr:col>14</xdr:col>
      <xdr:colOff>0</xdr:colOff>
      <xdr:row>34</xdr:row>
      <xdr:rowOff>42809</xdr:rowOff>
    </xdr:from>
    <xdr:to>
      <xdr:col>15</xdr:col>
      <xdr:colOff>2411573</xdr:colOff>
      <xdr:row>39</xdr:row>
      <xdr:rowOff>14270</xdr:rowOff>
    </xdr:to>
    <xdr:sp macro="" textlink="">
      <xdr:nvSpPr>
        <xdr:cNvPr id="6" name="TextBox 5">
          <a:extLst>
            <a:ext uri="{FF2B5EF4-FFF2-40B4-BE49-F238E27FC236}">
              <a16:creationId xmlns:a16="http://schemas.microsoft.com/office/drawing/2014/main" id="{B4F23046-DC77-98E6-D89C-912FE081B340}"/>
            </a:ext>
          </a:extLst>
        </xdr:cNvPr>
        <xdr:cNvSpPr txBox="1"/>
      </xdr:nvSpPr>
      <xdr:spPr>
        <a:xfrm>
          <a:off x="19378202" y="6492697"/>
          <a:ext cx="4523483" cy="927528"/>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 95% confidence interval for the mean difference was also calculated: </a:t>
          </a:r>
          <a:r>
            <a:rPr lang="en-IN" b="1"/>
            <a:t>[0.03, 0.31]</a:t>
          </a:r>
          <a:endParaRPr lang="en-IN"/>
        </a:p>
        <a:p>
          <a:r>
            <a:rPr lang="en-IN"/>
            <a:t>Since </a:t>
          </a:r>
          <a:r>
            <a:rPr lang="en-IN" b="1"/>
            <a:t>0 is not included</a:t>
          </a:r>
          <a:r>
            <a:rPr lang="en-IN"/>
            <a:t> in this interval, it confirms that the increase is </a:t>
          </a:r>
          <a:r>
            <a:rPr lang="en-IN" b="1"/>
            <a:t>statistically significant and positive</a:t>
          </a:r>
          <a:endParaRPr lang="en-IN"/>
        </a:p>
        <a:p>
          <a:endParaRPr lang="en-GB" sz="1100"/>
        </a:p>
      </xdr:txBody>
    </xdr:sp>
    <xdr:clientData/>
  </xdr:twoCellAnchor>
  <xdr:twoCellAnchor>
    <xdr:from>
      <xdr:col>8</xdr:col>
      <xdr:colOff>14270</xdr:colOff>
      <xdr:row>53</xdr:row>
      <xdr:rowOff>171237</xdr:rowOff>
    </xdr:from>
    <xdr:to>
      <xdr:col>11</xdr:col>
      <xdr:colOff>0</xdr:colOff>
      <xdr:row>62</xdr:row>
      <xdr:rowOff>28539</xdr:rowOff>
    </xdr:to>
    <xdr:sp macro="" textlink="">
      <xdr:nvSpPr>
        <xdr:cNvPr id="7" name="TextBox 6">
          <a:extLst>
            <a:ext uri="{FF2B5EF4-FFF2-40B4-BE49-F238E27FC236}">
              <a16:creationId xmlns:a16="http://schemas.microsoft.com/office/drawing/2014/main" id="{AC89DD13-30D1-CF0F-19AE-20A0F60CD1FB}"/>
            </a:ext>
          </a:extLst>
        </xdr:cNvPr>
        <xdr:cNvSpPr txBox="1"/>
      </xdr:nvSpPr>
      <xdr:spPr>
        <a:xfrm>
          <a:off x="11116068" y="10160001"/>
          <a:ext cx="5779213" cy="1526853"/>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Assumptions of the Paired t-test:</a:t>
          </a:r>
        </a:p>
        <a:p>
          <a:r>
            <a:rPr lang="en-IN" b="1"/>
            <a:t>Paired Observations</a:t>
          </a:r>
          <a:r>
            <a:rPr lang="en-IN"/>
            <a:t>:</a:t>
          </a:r>
          <a:br>
            <a:rPr lang="en-IN"/>
          </a:br>
          <a:r>
            <a:rPr lang="en-IN"/>
            <a:t>The same employees were surveyed in both 2023 and 2024 </a:t>
          </a:r>
        </a:p>
        <a:p>
          <a:r>
            <a:rPr lang="en-IN" b="1"/>
            <a:t>Continuous Variable</a:t>
          </a:r>
          <a:r>
            <a:rPr lang="en-IN"/>
            <a:t>:</a:t>
          </a:r>
          <a:br>
            <a:rPr lang="en-IN"/>
          </a:br>
          <a:r>
            <a:rPr lang="en-IN"/>
            <a:t>JobSatisfaction is measured on a numeric scale from 1–4 </a:t>
          </a:r>
        </a:p>
        <a:p>
          <a:r>
            <a:rPr lang="en-IN" b="1"/>
            <a:t>Normality of Differences</a:t>
          </a:r>
          <a:r>
            <a:rPr lang="en-IN"/>
            <a:t>:</a:t>
          </a:r>
          <a:br>
            <a:rPr lang="en-IN"/>
          </a:br>
          <a:r>
            <a:rPr lang="en-IN"/>
            <a:t>The distribution of the differences (2024 – 2023) is assumed to be approximately normal. With a </a:t>
          </a:r>
          <a:r>
            <a:rPr lang="en-IN" b="1"/>
            <a:t>sample size of 30</a:t>
          </a:r>
          <a:r>
            <a:rPr lang="en-IN"/>
            <a:t>, this assumption is reasonably satisfied </a:t>
          </a:r>
        </a:p>
        <a:p>
          <a:endParaRPr lang="en-GB" sz="1100"/>
        </a:p>
      </xdr:txBody>
    </xdr:sp>
    <xdr:clientData/>
  </xdr:twoCellAnchor>
  <xdr:twoCellAnchor>
    <xdr:from>
      <xdr:col>4</xdr:col>
      <xdr:colOff>228316</xdr:colOff>
      <xdr:row>66</xdr:row>
      <xdr:rowOff>112444</xdr:rowOff>
    </xdr:from>
    <xdr:to>
      <xdr:col>13</xdr:col>
      <xdr:colOff>99887</xdr:colOff>
      <xdr:row>99</xdr:row>
      <xdr:rowOff>28538</xdr:rowOff>
    </xdr:to>
    <xdr:graphicFrame macro="">
      <xdr:nvGraphicFramePr>
        <xdr:cNvPr id="8" name="Chart 7">
          <a:extLst>
            <a:ext uri="{FF2B5EF4-FFF2-40B4-BE49-F238E27FC236}">
              <a16:creationId xmlns:a16="http://schemas.microsoft.com/office/drawing/2014/main" id="{D1B0CDD8-1A22-BA2F-5765-F8C59DE7F1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156966</xdr:colOff>
      <xdr:row>74</xdr:row>
      <xdr:rowOff>28540</xdr:rowOff>
    </xdr:from>
    <xdr:to>
      <xdr:col>3</xdr:col>
      <xdr:colOff>1583933</xdr:colOff>
      <xdr:row>81</xdr:row>
      <xdr:rowOff>42809</xdr:rowOff>
    </xdr:to>
    <xdr:sp macro="" textlink="">
      <xdr:nvSpPr>
        <xdr:cNvPr id="9" name="TextBox 8">
          <a:extLst>
            <a:ext uri="{FF2B5EF4-FFF2-40B4-BE49-F238E27FC236}">
              <a16:creationId xmlns:a16="http://schemas.microsoft.com/office/drawing/2014/main" id="{2E8CDBF3-4888-904F-C981-6CB844CD0E9B}"/>
            </a:ext>
          </a:extLst>
        </xdr:cNvPr>
        <xdr:cNvSpPr txBox="1"/>
      </xdr:nvSpPr>
      <xdr:spPr>
        <a:xfrm>
          <a:off x="2040562" y="13927192"/>
          <a:ext cx="5165618" cy="1312808"/>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This chart compares JobSatisfaction_2023 and JobSatisfaction_2024 for each of the 30 employees.</a:t>
          </a:r>
          <a:br>
            <a:rPr lang="en-IN"/>
          </a:br>
          <a:r>
            <a:rPr lang="en-IN"/>
            <a:t>The </a:t>
          </a:r>
          <a:r>
            <a:rPr lang="en-IN" b="1"/>
            <a:t>orange bars</a:t>
          </a:r>
          <a:r>
            <a:rPr lang="en-IN"/>
            <a:t> (2024) are generally equal to or slightly higher than the </a:t>
          </a:r>
          <a:r>
            <a:rPr lang="en-IN" b="1"/>
            <a:t>blue bars</a:t>
          </a:r>
          <a:r>
            <a:rPr lang="en-IN"/>
            <a:t> (2023), suggesting a </a:t>
          </a:r>
          <a:r>
            <a:rPr lang="en-IN" b="1"/>
            <a:t>positive shift in satisfaction</a:t>
          </a:r>
          <a:r>
            <a:rPr lang="en-IN"/>
            <a:t> following the engagement program.</a:t>
          </a:r>
          <a:br>
            <a:rPr lang="en-IN"/>
          </a:br>
          <a:r>
            <a:rPr lang="en-IN"/>
            <a:t>This visual supports the t-test result, which confirmed a </a:t>
          </a:r>
          <a:r>
            <a:rPr lang="en-IN" b="1"/>
            <a:t>statistically significant improvement</a:t>
          </a:r>
          <a:r>
            <a:rPr lang="en-IN"/>
            <a:t> in satisfaction levels.</a:t>
          </a:r>
          <a:endParaRPr lang="en-GB" sz="1100"/>
        </a:p>
      </xdr:txBody>
    </xdr:sp>
    <xdr:clientData/>
  </xdr:twoCellAnchor>
  <xdr:twoCellAnchor>
    <xdr:from>
      <xdr:col>1</xdr:col>
      <xdr:colOff>42808</xdr:colOff>
      <xdr:row>53</xdr:row>
      <xdr:rowOff>142697</xdr:rowOff>
    </xdr:from>
    <xdr:to>
      <xdr:col>5</xdr:col>
      <xdr:colOff>71349</xdr:colOff>
      <xdr:row>57</xdr:row>
      <xdr:rowOff>28541</xdr:rowOff>
    </xdr:to>
    <xdr:sp macro="" textlink="">
      <xdr:nvSpPr>
        <xdr:cNvPr id="10" name="TextBox 9">
          <a:extLst>
            <a:ext uri="{FF2B5EF4-FFF2-40B4-BE49-F238E27FC236}">
              <a16:creationId xmlns:a16="http://schemas.microsoft.com/office/drawing/2014/main" id="{8176EBF2-FDE7-6B7D-6531-00FDF61B6EC8}"/>
            </a:ext>
          </a:extLst>
        </xdr:cNvPr>
        <xdr:cNvSpPr txBox="1"/>
      </xdr:nvSpPr>
      <xdr:spPr>
        <a:xfrm>
          <a:off x="1926404" y="10145731"/>
          <a:ext cx="6763821" cy="62786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The descriptive statistics show a slight increase in </a:t>
          </a:r>
          <a:r>
            <a:rPr lang="en-IN" b="1"/>
            <a:t>mean job satisfaction</a:t>
          </a:r>
          <a:r>
            <a:rPr lang="en-IN"/>
            <a:t> from </a:t>
          </a:r>
          <a:r>
            <a:rPr lang="en-IN" b="1"/>
            <a:t>2.57 in 2023</a:t>
          </a:r>
          <a:r>
            <a:rPr lang="en-IN"/>
            <a:t> to </a:t>
          </a:r>
          <a:r>
            <a:rPr lang="en-IN" b="1"/>
            <a:t>2.73 in 2024</a:t>
          </a:r>
          <a:r>
            <a:rPr lang="en-IN"/>
            <a:t>.</a:t>
          </a:r>
          <a:br>
            <a:rPr lang="en-IN"/>
          </a:br>
          <a:r>
            <a:rPr lang="en-IN"/>
            <a:t>Median and mode both shifted from </a:t>
          </a:r>
          <a:r>
            <a:rPr lang="en-IN" b="1"/>
            <a:t>2.5 to 3</a:t>
          </a:r>
          <a:r>
            <a:rPr lang="en-IN"/>
            <a:t>, indicating a general improvement.</a:t>
          </a:r>
          <a:br>
            <a:rPr lang="en-IN"/>
          </a:br>
          <a:r>
            <a:rPr lang="en-IN"/>
            <a:t>The standard deviation remained stable (~0.97–0.98), suggesting similar variation in responses across both years.</a:t>
          </a:r>
          <a:endParaRPr lang="en-GB"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1388139</xdr:colOff>
      <xdr:row>0</xdr:row>
      <xdr:rowOff>162442</xdr:rowOff>
    </xdr:from>
    <xdr:to>
      <xdr:col>11</xdr:col>
      <xdr:colOff>29534</xdr:colOff>
      <xdr:row>3</xdr:row>
      <xdr:rowOff>44303</xdr:rowOff>
    </xdr:to>
    <xdr:sp macro="" textlink="">
      <xdr:nvSpPr>
        <xdr:cNvPr id="2" name="TextBox 1">
          <a:extLst>
            <a:ext uri="{FF2B5EF4-FFF2-40B4-BE49-F238E27FC236}">
              <a16:creationId xmlns:a16="http://schemas.microsoft.com/office/drawing/2014/main" id="{D5554CF6-6AE2-E693-8D98-4AF00D863A07}"/>
            </a:ext>
          </a:extLst>
        </xdr:cNvPr>
        <xdr:cNvSpPr txBox="1"/>
      </xdr:nvSpPr>
      <xdr:spPr>
        <a:xfrm>
          <a:off x="7723372" y="162442"/>
          <a:ext cx="7088371" cy="45779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This question investigates whether early-career employee </a:t>
          </a:r>
          <a:r>
            <a:rPr lang="en-IN" b="1"/>
            <a:t>retention rates</a:t>
          </a:r>
          <a:r>
            <a:rPr lang="en-IN"/>
            <a:t> are associated with the type of </a:t>
          </a:r>
          <a:r>
            <a:rPr lang="en-IN" b="1"/>
            <a:t>program group</a:t>
          </a:r>
          <a:r>
            <a:rPr lang="en-IN"/>
            <a:t> they were part of  Control, Experiential Program, or Mentoring Program</a:t>
          </a:r>
          <a:endParaRPr lang="en-GB" sz="1100"/>
        </a:p>
      </xdr:txBody>
    </xdr:sp>
    <xdr:clientData/>
  </xdr:twoCellAnchor>
  <xdr:twoCellAnchor>
    <xdr:from>
      <xdr:col>5</xdr:col>
      <xdr:colOff>0</xdr:colOff>
      <xdr:row>16</xdr:row>
      <xdr:rowOff>0</xdr:rowOff>
    </xdr:from>
    <xdr:to>
      <xdr:col>9</xdr:col>
      <xdr:colOff>14767</xdr:colOff>
      <xdr:row>20</xdr:row>
      <xdr:rowOff>59070</xdr:rowOff>
    </xdr:to>
    <xdr:sp macro="" textlink="">
      <xdr:nvSpPr>
        <xdr:cNvPr id="3" name="TextBox 2">
          <a:extLst>
            <a:ext uri="{FF2B5EF4-FFF2-40B4-BE49-F238E27FC236}">
              <a16:creationId xmlns:a16="http://schemas.microsoft.com/office/drawing/2014/main" id="{6F3CDC17-D773-C90D-CF22-39DE9D145228}"/>
            </a:ext>
          </a:extLst>
        </xdr:cNvPr>
        <xdr:cNvSpPr txBox="1"/>
      </xdr:nvSpPr>
      <xdr:spPr>
        <a:xfrm>
          <a:off x="7738140" y="3071628"/>
          <a:ext cx="5463953" cy="826977"/>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Why we used Chi-Square Test:</a:t>
          </a:r>
        </a:p>
        <a:p>
          <a:r>
            <a:rPr lang="en-IN"/>
            <a:t>Both variables (Group and Retention Outcome) are </a:t>
          </a:r>
          <a:r>
            <a:rPr lang="en-IN" b="1"/>
            <a:t>categorical</a:t>
          </a:r>
          <a:endParaRPr lang="en-IN"/>
        </a:p>
        <a:p>
          <a:r>
            <a:rPr lang="en-IN"/>
            <a:t>We’re testing whether </a:t>
          </a:r>
          <a:r>
            <a:rPr lang="en-IN" b="1"/>
            <a:t>retention status</a:t>
          </a:r>
          <a:r>
            <a:rPr lang="en-IN"/>
            <a:t> (Yes/No) is </a:t>
          </a:r>
          <a:r>
            <a:rPr lang="en-IN" b="1"/>
            <a:t>independent</a:t>
          </a:r>
          <a:r>
            <a:rPr lang="en-IN"/>
            <a:t> of the program type</a:t>
          </a:r>
        </a:p>
        <a:p>
          <a:r>
            <a:rPr lang="en-IN"/>
            <a:t>The </a:t>
          </a:r>
          <a:r>
            <a:rPr lang="en-IN" b="1"/>
            <a:t>Chi-Square Test of Independence</a:t>
          </a:r>
          <a:r>
            <a:rPr lang="en-IN"/>
            <a:t> is the appropriate statistical test for this cas</a:t>
          </a:r>
        </a:p>
        <a:p>
          <a:endParaRPr lang="en-GB" sz="1100"/>
        </a:p>
      </xdr:txBody>
    </xdr:sp>
    <xdr:clientData/>
  </xdr:twoCellAnchor>
  <xdr:twoCellAnchor>
    <xdr:from>
      <xdr:col>5</xdr:col>
      <xdr:colOff>14766</xdr:colOff>
      <xdr:row>82</xdr:row>
      <xdr:rowOff>14769</xdr:rowOff>
    </xdr:from>
    <xdr:to>
      <xdr:col>8</xdr:col>
      <xdr:colOff>0</xdr:colOff>
      <xdr:row>88</xdr:row>
      <xdr:rowOff>177210</xdr:rowOff>
    </xdr:to>
    <xdr:sp macro="" textlink="">
      <xdr:nvSpPr>
        <xdr:cNvPr id="4" name="TextBox 3">
          <a:extLst>
            <a:ext uri="{FF2B5EF4-FFF2-40B4-BE49-F238E27FC236}">
              <a16:creationId xmlns:a16="http://schemas.microsoft.com/office/drawing/2014/main" id="{6E859254-DAA3-FC88-BBF5-40EF68A3C3E5}"/>
            </a:ext>
          </a:extLst>
        </xdr:cNvPr>
        <xdr:cNvSpPr txBox="1"/>
      </xdr:nvSpPr>
      <xdr:spPr>
        <a:xfrm>
          <a:off x="7752906" y="15771629"/>
          <a:ext cx="6261396" cy="1314302"/>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Results Summary:</a:t>
          </a:r>
        </a:p>
        <a:p>
          <a:r>
            <a:rPr lang="en-IN" b="1"/>
            <a:t>Chi-square statistic = 6.8193</a:t>
          </a:r>
          <a:endParaRPr lang="en-IN"/>
        </a:p>
        <a:p>
          <a:r>
            <a:rPr lang="en-IN" b="1"/>
            <a:t>p-value = 0.0331</a:t>
          </a:r>
          <a:endParaRPr lang="en-IN"/>
        </a:p>
        <a:p>
          <a:r>
            <a:rPr lang="en-IN" b="1"/>
            <a:t>Significance level = 0.05</a:t>
          </a:r>
          <a:br>
            <a:rPr lang="en-IN"/>
          </a:br>
          <a:r>
            <a:rPr lang="en-IN"/>
            <a:t>Decision: </a:t>
          </a:r>
          <a:r>
            <a:rPr lang="en-IN" i="1"/>
            <a:t>Reject the null hypothesis</a:t>
          </a:r>
          <a:endParaRPr lang="en-IN"/>
        </a:p>
        <a:p>
          <a:r>
            <a:rPr lang="en-IN"/>
            <a:t>This means </a:t>
          </a:r>
          <a:r>
            <a:rPr lang="en-IN" b="1"/>
            <a:t>retention outcomes differ significantly</a:t>
          </a:r>
          <a:r>
            <a:rPr lang="en-IN"/>
            <a:t> depending on the program type — i.e., </a:t>
          </a:r>
          <a:r>
            <a:rPr lang="en-IN" b="1"/>
            <a:t>program type impacts early-career retention</a:t>
          </a:r>
          <a:r>
            <a:rPr lang="en-IN"/>
            <a:t>.</a:t>
          </a:r>
        </a:p>
        <a:p>
          <a:endParaRPr lang="en-GB" sz="1100"/>
        </a:p>
      </xdr:txBody>
    </xdr:sp>
    <xdr:clientData/>
  </xdr:twoCellAnchor>
  <xdr:twoCellAnchor>
    <xdr:from>
      <xdr:col>4</xdr:col>
      <xdr:colOff>1388139</xdr:colOff>
      <xdr:row>23</xdr:row>
      <xdr:rowOff>1</xdr:rowOff>
    </xdr:from>
    <xdr:to>
      <xdr:col>9</xdr:col>
      <xdr:colOff>0</xdr:colOff>
      <xdr:row>28</xdr:row>
      <xdr:rowOff>44303</xdr:rowOff>
    </xdr:to>
    <xdr:sp macro="" textlink="">
      <xdr:nvSpPr>
        <xdr:cNvPr id="5" name="TextBox 4">
          <a:extLst>
            <a:ext uri="{FF2B5EF4-FFF2-40B4-BE49-F238E27FC236}">
              <a16:creationId xmlns:a16="http://schemas.microsoft.com/office/drawing/2014/main" id="{A2E09361-7D70-5B6E-81CB-08FF2E8AC950}"/>
            </a:ext>
          </a:extLst>
        </xdr:cNvPr>
        <xdr:cNvSpPr txBox="1"/>
      </xdr:nvSpPr>
      <xdr:spPr>
        <a:xfrm>
          <a:off x="7723372" y="4415466"/>
          <a:ext cx="7516628" cy="100418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Hypotheses:</a:t>
          </a:r>
        </a:p>
        <a:p>
          <a:r>
            <a:rPr lang="en-IN" b="1"/>
            <a:t>Null Hypothesis (H₀):</a:t>
          </a:r>
          <a:br>
            <a:rPr lang="en-IN"/>
          </a:br>
          <a:r>
            <a:rPr lang="en-IN"/>
            <a:t>There is </a:t>
          </a:r>
          <a:r>
            <a:rPr lang="en-IN" b="1"/>
            <a:t>no association</a:t>
          </a:r>
          <a:r>
            <a:rPr lang="en-IN"/>
            <a:t> between program type and retention  i.e., </a:t>
          </a:r>
          <a:r>
            <a:rPr lang="en-IN" b="1"/>
            <a:t>retention outcomes are independent</a:t>
          </a:r>
          <a:r>
            <a:rPr lang="en-IN"/>
            <a:t> of the program.</a:t>
          </a:r>
        </a:p>
        <a:p>
          <a:r>
            <a:rPr lang="en-IN" b="1"/>
            <a:t>Alternative Hypothesis (H₁):</a:t>
          </a:r>
          <a:br>
            <a:rPr lang="en-IN"/>
          </a:br>
          <a:r>
            <a:rPr lang="en-IN"/>
            <a:t>There </a:t>
          </a:r>
          <a:r>
            <a:rPr lang="en-IN" b="1"/>
            <a:t>is an association</a:t>
          </a:r>
          <a:r>
            <a:rPr lang="en-IN"/>
            <a:t> between program type and retention  i.e., </a:t>
          </a:r>
          <a:r>
            <a:rPr lang="en-IN" b="1"/>
            <a:t>retention outcomes differ by program type</a:t>
          </a:r>
          <a:r>
            <a:rPr lang="en-IN"/>
            <a:t>.</a:t>
          </a:r>
        </a:p>
        <a:p>
          <a:endParaRPr lang="en-GB" sz="1100"/>
        </a:p>
      </xdr:txBody>
    </xdr:sp>
    <xdr:clientData/>
  </xdr:twoCellAnchor>
  <xdr:twoCellAnchor>
    <xdr:from>
      <xdr:col>9</xdr:col>
      <xdr:colOff>0</xdr:colOff>
      <xdr:row>82</xdr:row>
      <xdr:rowOff>0</xdr:rowOff>
    </xdr:from>
    <xdr:to>
      <xdr:col>15</xdr:col>
      <xdr:colOff>14767</xdr:colOff>
      <xdr:row>89</xdr:row>
      <xdr:rowOff>0</xdr:rowOff>
    </xdr:to>
    <xdr:sp macro="" textlink="">
      <xdr:nvSpPr>
        <xdr:cNvPr id="6" name="TextBox 5">
          <a:extLst>
            <a:ext uri="{FF2B5EF4-FFF2-40B4-BE49-F238E27FC236}">
              <a16:creationId xmlns:a16="http://schemas.microsoft.com/office/drawing/2014/main" id="{C17DE696-BBC3-A9B3-94D2-0C1158852B2C}"/>
            </a:ext>
          </a:extLst>
        </xdr:cNvPr>
        <xdr:cNvSpPr txBox="1"/>
      </xdr:nvSpPr>
      <xdr:spPr>
        <a:xfrm>
          <a:off x="15240000" y="15756860"/>
          <a:ext cx="4917558" cy="1343838"/>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The </a:t>
          </a:r>
          <a:r>
            <a:rPr lang="en-IN" b="1"/>
            <a:t>Chi-Square test</a:t>
          </a:r>
          <a:r>
            <a:rPr lang="en-IN"/>
            <a:t> and </a:t>
          </a:r>
          <a:r>
            <a:rPr lang="en-IN" b="1"/>
            <a:t>Marascuilo procedure</a:t>
          </a:r>
          <a:r>
            <a:rPr lang="en-IN"/>
            <a:t> show that </a:t>
          </a:r>
          <a:r>
            <a:rPr lang="en-IN" b="1"/>
            <a:t>retention outcomes differ significantly</a:t>
          </a:r>
          <a:r>
            <a:rPr lang="en-IN"/>
            <a:t> depending on the program.</a:t>
          </a:r>
          <a:br>
            <a:rPr lang="en-IN"/>
          </a:br>
          <a:r>
            <a:rPr lang="en-IN"/>
            <a:t>Specifically, the </a:t>
          </a:r>
          <a:r>
            <a:rPr lang="en-IN" b="1"/>
            <a:t>Mentoring Program</a:t>
          </a:r>
          <a:r>
            <a:rPr lang="en-IN"/>
            <a:t> has a statistically significant positive impact on retaining early-career employees when compared to no intervention (Control).</a:t>
          </a:r>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eakin365-my.sharepoint.com/Users/rishitasharma/Downloads/simar.xlsx" TargetMode="External"/><Relationship Id="rId1" Type="http://schemas.openxmlformats.org/officeDocument/2006/relationships/externalLinkPath" Target="/Users/rishitasharma/Downloads/sima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ita Sharma" refreshedDate="45876.770280092591" createdVersion="8" refreshedVersion="8" minRefreshableVersion="3" recordCount="120" xr:uid="{4A40D3EF-C18B-2C4E-886B-C6AAF2740297}">
  <cacheSource type="worksheet">
    <worksheetSource ref="A1:B121" sheet="1.3 TASK "/>
  </cacheSource>
  <cacheFields count="2">
    <cacheField name="Attrition" numFmtId="0">
      <sharedItems count="2">
        <s v="No"/>
        <s v="Yes"/>
      </sharedItems>
    </cacheField>
    <cacheField name="JobRole" numFmtId="0">
      <sharedItems count="3">
        <s v="Research Scientist"/>
        <s v="Laboratory Technician"/>
        <s v="Research Directo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ita Sharma" refreshedDate="45876.793268402776" createdVersion="8" refreshedVersion="8" minRefreshableVersion="3" recordCount="66" xr:uid="{0F82AF44-39CA-2B46-84C2-C978A196B26A}">
  <cacheSource type="worksheet">
    <worksheetSource ref="B1:D67" sheet="Early-Career_Retention"/>
  </cacheSource>
  <cacheFields count="3">
    <cacheField name="Group" numFmtId="0">
      <sharedItems count="3">
        <s v="Control"/>
        <s v="Mentoring program"/>
        <s v="Experiential Program"/>
      </sharedItems>
    </cacheField>
    <cacheField name="JobLevel" numFmtId="0">
      <sharedItems containsSemiMixedTypes="0" containsString="0" containsNumber="1" containsInteger="1" minValue="1" maxValue="1"/>
    </cacheField>
    <cacheField name="RetentionAfter6Months" numFmtId="0">
      <sharedItems count="2">
        <s v="Yes"/>
        <s v="N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r>
  <r>
    <x v="1"/>
    <x v="1"/>
  </r>
  <r>
    <x v="0"/>
    <x v="0"/>
  </r>
  <r>
    <x v="0"/>
    <x v="1"/>
  </r>
  <r>
    <x v="0"/>
    <x v="1"/>
  </r>
  <r>
    <x v="0"/>
    <x v="1"/>
  </r>
  <r>
    <x v="0"/>
    <x v="1"/>
  </r>
  <r>
    <x v="0"/>
    <x v="1"/>
  </r>
  <r>
    <x v="0"/>
    <x v="1"/>
  </r>
  <r>
    <x v="0"/>
    <x v="0"/>
  </r>
  <r>
    <x v="0"/>
    <x v="1"/>
  </r>
  <r>
    <x v="1"/>
    <x v="1"/>
  </r>
  <r>
    <x v="0"/>
    <x v="0"/>
  </r>
  <r>
    <x v="0"/>
    <x v="1"/>
  </r>
  <r>
    <x v="0"/>
    <x v="0"/>
  </r>
  <r>
    <x v="0"/>
    <x v="2"/>
  </r>
  <r>
    <x v="0"/>
    <x v="0"/>
  </r>
  <r>
    <x v="1"/>
    <x v="0"/>
  </r>
  <r>
    <x v="1"/>
    <x v="0"/>
  </r>
  <r>
    <x v="0"/>
    <x v="1"/>
  </r>
  <r>
    <x v="0"/>
    <x v="1"/>
  </r>
  <r>
    <x v="1"/>
    <x v="0"/>
  </r>
  <r>
    <x v="0"/>
    <x v="0"/>
  </r>
  <r>
    <x v="0"/>
    <x v="0"/>
  </r>
  <r>
    <x v="0"/>
    <x v="1"/>
  </r>
  <r>
    <x v="0"/>
    <x v="1"/>
  </r>
  <r>
    <x v="1"/>
    <x v="1"/>
  </r>
  <r>
    <x v="0"/>
    <x v="1"/>
  </r>
  <r>
    <x v="1"/>
    <x v="2"/>
  </r>
  <r>
    <x v="0"/>
    <x v="0"/>
  </r>
  <r>
    <x v="0"/>
    <x v="1"/>
  </r>
  <r>
    <x v="1"/>
    <x v="1"/>
  </r>
  <r>
    <x v="1"/>
    <x v="1"/>
  </r>
  <r>
    <x v="0"/>
    <x v="2"/>
  </r>
  <r>
    <x v="0"/>
    <x v="1"/>
  </r>
  <r>
    <x v="0"/>
    <x v="1"/>
  </r>
  <r>
    <x v="0"/>
    <x v="1"/>
  </r>
  <r>
    <x v="0"/>
    <x v="2"/>
  </r>
  <r>
    <x v="0"/>
    <x v="0"/>
  </r>
  <r>
    <x v="0"/>
    <x v="0"/>
  </r>
  <r>
    <x v="1"/>
    <x v="0"/>
  </r>
  <r>
    <x v="0"/>
    <x v="0"/>
  </r>
  <r>
    <x v="0"/>
    <x v="0"/>
  </r>
  <r>
    <x v="0"/>
    <x v="0"/>
  </r>
  <r>
    <x v="0"/>
    <x v="1"/>
  </r>
  <r>
    <x v="0"/>
    <x v="2"/>
  </r>
  <r>
    <x v="0"/>
    <x v="2"/>
  </r>
  <r>
    <x v="0"/>
    <x v="1"/>
  </r>
  <r>
    <x v="0"/>
    <x v="0"/>
  </r>
  <r>
    <x v="0"/>
    <x v="0"/>
  </r>
  <r>
    <x v="0"/>
    <x v="1"/>
  </r>
  <r>
    <x v="0"/>
    <x v="2"/>
  </r>
  <r>
    <x v="0"/>
    <x v="1"/>
  </r>
  <r>
    <x v="0"/>
    <x v="0"/>
  </r>
  <r>
    <x v="1"/>
    <x v="1"/>
  </r>
  <r>
    <x v="0"/>
    <x v="0"/>
  </r>
  <r>
    <x v="0"/>
    <x v="2"/>
  </r>
  <r>
    <x v="0"/>
    <x v="0"/>
  </r>
  <r>
    <x v="0"/>
    <x v="1"/>
  </r>
  <r>
    <x v="1"/>
    <x v="1"/>
  </r>
  <r>
    <x v="0"/>
    <x v="1"/>
  </r>
  <r>
    <x v="0"/>
    <x v="0"/>
  </r>
  <r>
    <x v="0"/>
    <x v="1"/>
  </r>
  <r>
    <x v="0"/>
    <x v="0"/>
  </r>
  <r>
    <x v="1"/>
    <x v="0"/>
  </r>
  <r>
    <x v="0"/>
    <x v="2"/>
  </r>
  <r>
    <x v="0"/>
    <x v="0"/>
  </r>
  <r>
    <x v="0"/>
    <x v="0"/>
  </r>
  <r>
    <x v="0"/>
    <x v="0"/>
  </r>
  <r>
    <x v="0"/>
    <x v="0"/>
  </r>
  <r>
    <x v="0"/>
    <x v="0"/>
  </r>
  <r>
    <x v="0"/>
    <x v="0"/>
  </r>
  <r>
    <x v="0"/>
    <x v="0"/>
  </r>
  <r>
    <x v="0"/>
    <x v="0"/>
  </r>
  <r>
    <x v="0"/>
    <x v="0"/>
  </r>
  <r>
    <x v="0"/>
    <x v="2"/>
  </r>
  <r>
    <x v="0"/>
    <x v="0"/>
  </r>
  <r>
    <x v="0"/>
    <x v="0"/>
  </r>
  <r>
    <x v="0"/>
    <x v="1"/>
  </r>
  <r>
    <x v="0"/>
    <x v="0"/>
  </r>
  <r>
    <x v="0"/>
    <x v="2"/>
  </r>
  <r>
    <x v="1"/>
    <x v="0"/>
  </r>
  <r>
    <x v="0"/>
    <x v="2"/>
  </r>
  <r>
    <x v="1"/>
    <x v="0"/>
  </r>
  <r>
    <x v="1"/>
    <x v="1"/>
  </r>
  <r>
    <x v="1"/>
    <x v="1"/>
  </r>
  <r>
    <x v="0"/>
    <x v="2"/>
  </r>
  <r>
    <x v="0"/>
    <x v="1"/>
  </r>
  <r>
    <x v="0"/>
    <x v="2"/>
  </r>
  <r>
    <x v="0"/>
    <x v="2"/>
  </r>
  <r>
    <x v="0"/>
    <x v="2"/>
  </r>
  <r>
    <x v="0"/>
    <x v="2"/>
  </r>
  <r>
    <x v="0"/>
    <x v="1"/>
  </r>
  <r>
    <x v="1"/>
    <x v="1"/>
  </r>
  <r>
    <x v="1"/>
    <x v="1"/>
  </r>
  <r>
    <x v="0"/>
    <x v="2"/>
  </r>
  <r>
    <x v="0"/>
    <x v="2"/>
  </r>
  <r>
    <x v="0"/>
    <x v="2"/>
  </r>
  <r>
    <x v="1"/>
    <x v="1"/>
  </r>
  <r>
    <x v="0"/>
    <x v="2"/>
  </r>
  <r>
    <x v="0"/>
    <x v="2"/>
  </r>
  <r>
    <x v="0"/>
    <x v="1"/>
  </r>
  <r>
    <x v="0"/>
    <x v="2"/>
  </r>
  <r>
    <x v="0"/>
    <x v="2"/>
  </r>
  <r>
    <x v="0"/>
    <x v="2"/>
  </r>
  <r>
    <x v="0"/>
    <x v="2"/>
  </r>
  <r>
    <x v="0"/>
    <x v="2"/>
  </r>
  <r>
    <x v="0"/>
    <x v="2"/>
  </r>
  <r>
    <x v="0"/>
    <x v="2"/>
  </r>
  <r>
    <x v="0"/>
    <x v="2"/>
  </r>
  <r>
    <x v="0"/>
    <x v="2"/>
  </r>
  <r>
    <x v="1"/>
    <x v="2"/>
  </r>
  <r>
    <x v="0"/>
    <x v="2"/>
  </r>
  <r>
    <x v="0"/>
    <x v="2"/>
  </r>
  <r>
    <x v="0"/>
    <x v="2"/>
  </r>
  <r>
    <x v="0"/>
    <x v="2"/>
  </r>
  <r>
    <x v="0"/>
    <x v="2"/>
  </r>
  <r>
    <x v="0"/>
    <x v="2"/>
  </r>
  <r>
    <x v="0"/>
    <x v="2"/>
  </r>
  <r>
    <x v="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
  <r>
    <x v="0"/>
    <n v="1"/>
    <x v="0"/>
  </r>
  <r>
    <x v="1"/>
    <n v="1"/>
    <x v="0"/>
  </r>
  <r>
    <x v="1"/>
    <n v="1"/>
    <x v="0"/>
  </r>
  <r>
    <x v="1"/>
    <n v="1"/>
    <x v="0"/>
  </r>
  <r>
    <x v="0"/>
    <n v="1"/>
    <x v="1"/>
  </r>
  <r>
    <x v="0"/>
    <n v="1"/>
    <x v="1"/>
  </r>
  <r>
    <x v="0"/>
    <n v="1"/>
    <x v="0"/>
  </r>
  <r>
    <x v="1"/>
    <n v="1"/>
    <x v="1"/>
  </r>
  <r>
    <x v="1"/>
    <n v="1"/>
    <x v="0"/>
  </r>
  <r>
    <x v="1"/>
    <n v="1"/>
    <x v="0"/>
  </r>
  <r>
    <x v="0"/>
    <n v="1"/>
    <x v="0"/>
  </r>
  <r>
    <x v="1"/>
    <n v="1"/>
    <x v="0"/>
  </r>
  <r>
    <x v="1"/>
    <n v="1"/>
    <x v="0"/>
  </r>
  <r>
    <x v="0"/>
    <n v="1"/>
    <x v="0"/>
  </r>
  <r>
    <x v="0"/>
    <n v="1"/>
    <x v="0"/>
  </r>
  <r>
    <x v="0"/>
    <n v="1"/>
    <x v="0"/>
  </r>
  <r>
    <x v="0"/>
    <n v="1"/>
    <x v="1"/>
  </r>
  <r>
    <x v="1"/>
    <n v="1"/>
    <x v="0"/>
  </r>
  <r>
    <x v="0"/>
    <n v="1"/>
    <x v="0"/>
  </r>
  <r>
    <x v="1"/>
    <n v="1"/>
    <x v="1"/>
  </r>
  <r>
    <x v="0"/>
    <n v="1"/>
    <x v="1"/>
  </r>
  <r>
    <x v="0"/>
    <n v="1"/>
    <x v="0"/>
  </r>
  <r>
    <x v="2"/>
    <n v="1"/>
    <x v="0"/>
  </r>
  <r>
    <x v="0"/>
    <n v="1"/>
    <x v="1"/>
  </r>
  <r>
    <x v="1"/>
    <n v="1"/>
    <x v="0"/>
  </r>
  <r>
    <x v="2"/>
    <n v="1"/>
    <x v="0"/>
  </r>
  <r>
    <x v="2"/>
    <n v="1"/>
    <x v="0"/>
  </r>
  <r>
    <x v="1"/>
    <n v="1"/>
    <x v="0"/>
  </r>
  <r>
    <x v="2"/>
    <n v="1"/>
    <x v="1"/>
  </r>
  <r>
    <x v="2"/>
    <n v="1"/>
    <x v="0"/>
  </r>
  <r>
    <x v="2"/>
    <n v="1"/>
    <x v="0"/>
  </r>
  <r>
    <x v="0"/>
    <n v="1"/>
    <x v="1"/>
  </r>
  <r>
    <x v="0"/>
    <n v="1"/>
    <x v="1"/>
  </r>
  <r>
    <x v="1"/>
    <n v="1"/>
    <x v="0"/>
  </r>
  <r>
    <x v="2"/>
    <n v="1"/>
    <x v="1"/>
  </r>
  <r>
    <x v="2"/>
    <n v="1"/>
    <x v="1"/>
  </r>
  <r>
    <x v="1"/>
    <n v="1"/>
    <x v="1"/>
  </r>
  <r>
    <x v="0"/>
    <n v="1"/>
    <x v="0"/>
  </r>
  <r>
    <x v="2"/>
    <n v="1"/>
    <x v="0"/>
  </r>
  <r>
    <x v="1"/>
    <n v="1"/>
    <x v="0"/>
  </r>
  <r>
    <x v="2"/>
    <n v="1"/>
    <x v="0"/>
  </r>
  <r>
    <x v="2"/>
    <n v="1"/>
    <x v="0"/>
  </r>
  <r>
    <x v="1"/>
    <n v="1"/>
    <x v="0"/>
  </r>
  <r>
    <x v="2"/>
    <n v="1"/>
    <x v="1"/>
  </r>
  <r>
    <x v="0"/>
    <n v="1"/>
    <x v="1"/>
  </r>
  <r>
    <x v="0"/>
    <n v="1"/>
    <x v="0"/>
  </r>
  <r>
    <x v="1"/>
    <n v="1"/>
    <x v="0"/>
  </r>
  <r>
    <x v="0"/>
    <n v="1"/>
    <x v="0"/>
  </r>
  <r>
    <x v="2"/>
    <n v="1"/>
    <x v="0"/>
  </r>
  <r>
    <x v="1"/>
    <n v="1"/>
    <x v="0"/>
  </r>
  <r>
    <x v="1"/>
    <n v="1"/>
    <x v="0"/>
  </r>
  <r>
    <x v="2"/>
    <n v="1"/>
    <x v="0"/>
  </r>
  <r>
    <x v="1"/>
    <n v="1"/>
    <x v="0"/>
  </r>
  <r>
    <x v="2"/>
    <n v="1"/>
    <x v="0"/>
  </r>
  <r>
    <x v="2"/>
    <n v="1"/>
    <x v="0"/>
  </r>
  <r>
    <x v="2"/>
    <n v="1"/>
    <x v="0"/>
  </r>
  <r>
    <x v="0"/>
    <n v="1"/>
    <x v="1"/>
  </r>
  <r>
    <x v="0"/>
    <n v="1"/>
    <x v="1"/>
  </r>
  <r>
    <x v="1"/>
    <n v="1"/>
    <x v="0"/>
  </r>
  <r>
    <x v="0"/>
    <n v="1"/>
    <x v="0"/>
  </r>
  <r>
    <x v="2"/>
    <n v="1"/>
    <x v="0"/>
  </r>
  <r>
    <x v="1"/>
    <n v="1"/>
    <x v="0"/>
  </r>
  <r>
    <x v="2"/>
    <n v="1"/>
    <x v="0"/>
  </r>
  <r>
    <x v="2"/>
    <n v="1"/>
    <x v="0"/>
  </r>
  <r>
    <x v="2"/>
    <n v="1"/>
    <x v="0"/>
  </r>
  <r>
    <x v="2"/>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5FE5FB-787C-DE47-91D9-D05C20DEE7FB}"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J10" firstHeaderRow="1" firstDataRow="2" firstDataCol="1"/>
  <pivotFields count="2">
    <pivotField axis="axisRow" showAll="0">
      <items count="3">
        <item x="0"/>
        <item x="1"/>
        <item t="default"/>
      </items>
    </pivotField>
    <pivotField axis="axisCol" dataField="1" showAll="0">
      <items count="4">
        <item x="1"/>
        <item x="2"/>
        <item x="0"/>
        <item t="default"/>
      </items>
    </pivotField>
  </pivotFields>
  <rowFields count="1">
    <field x="0"/>
  </rowFields>
  <rowItems count="3">
    <i>
      <x/>
    </i>
    <i>
      <x v="1"/>
    </i>
    <i t="grand">
      <x/>
    </i>
  </rowItems>
  <colFields count="1">
    <field x="1"/>
  </colFields>
  <colItems count="4">
    <i>
      <x/>
    </i>
    <i>
      <x v="1"/>
    </i>
    <i>
      <x v="2"/>
    </i>
    <i t="grand">
      <x/>
    </i>
  </colItems>
  <dataFields count="1">
    <dataField name="Count of JobRol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B71A92-8CB1-B44C-AD76-9A5FF84EAB17}"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J13" firstHeaderRow="1" firstDataRow="2" firstDataCol="1"/>
  <pivotFields count="3">
    <pivotField axis="axisCol" dataField="1" showAll="0">
      <items count="4">
        <item x="0"/>
        <item x="2"/>
        <item x="1"/>
        <item t="default"/>
      </items>
    </pivotField>
    <pivotField showAll="0"/>
    <pivotField axis="axisRow" showAll="0">
      <items count="3">
        <item x="1"/>
        <item x="0"/>
        <item t="default"/>
      </items>
    </pivotField>
  </pivotFields>
  <rowFields count="1">
    <field x="2"/>
  </rowFields>
  <rowItems count="3">
    <i>
      <x/>
    </i>
    <i>
      <x v="1"/>
    </i>
    <i t="grand">
      <x/>
    </i>
  </rowItems>
  <colFields count="1">
    <field x="0"/>
  </colFields>
  <colItems count="4">
    <i>
      <x/>
    </i>
    <i>
      <x v="1"/>
    </i>
    <i>
      <x v="2"/>
    </i>
    <i t="grand">
      <x/>
    </i>
  </colItems>
  <dataFields count="1">
    <dataField name="Count of Group"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596B1F-9CC3-9C4C-95DD-8FFD2F286C44}" name="Table3" displayName="Table3" ref="E7:H20" totalsRowShown="0" headerRowDxfId="46" dataDxfId="44" headerRowBorderDxfId="45" tableBorderDxfId="43">
  <autoFilter ref="E7:H20" xr:uid="{41596B1F-9CC3-9C4C-95DD-8FFD2F286C44}"/>
  <tableColumns count="4">
    <tableColumn id="1" xr3:uid="{73880491-3F3C-C64F-BB76-6B958E49943C}" name="MonthlyIncome(Female)" dataDxfId="42"/>
    <tableColumn id="2" xr3:uid="{094D18BA-46C5-DB43-8521-FFD40E6A8A82}" name="Values" dataDxfId="41"/>
    <tableColumn id="3" xr3:uid="{7BA932C1-5412-924D-8594-168EED9F825A}" name="MonthlyIncome(Male)" dataDxfId="40"/>
    <tableColumn id="4" xr3:uid="{B8A843E7-C2C0-1F4A-9D08-EFA8A2EB2FD5}" name="Values2" dataDxfId="39"/>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0392A9-F8B4-084E-BC36-5A3C69DD5AD4}" name="Table4" displayName="Table4" ref="A1:B77" totalsRowShown="0">
  <autoFilter ref="A1:B77" xr:uid="{140392A9-F8B4-084E-BC36-5A3C69DD5AD4}"/>
  <tableColumns count="2">
    <tableColumn id="1" xr3:uid="{CBE0974F-A26C-414D-A466-0A37E19F47ED}" name="MonthlyIncome(Female)"/>
    <tableColumn id="2" xr3:uid="{3D93B047-C425-E641-BB87-090535E356B6}" name="MonthlyIncome(Mal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2D65DC-DD92-0343-AA37-0FAA940646EA}" name="Table5" displayName="Table5" ref="A1:C49" totalsRowShown="0">
  <autoFilter ref="A1:C49" xr:uid="{992D65DC-DD92-0343-AA37-0FAA940646EA}"/>
  <tableColumns count="3">
    <tableColumn id="1" xr3:uid="{553D56B0-3223-7543-BAB6-1962F03910ED}" name="MonthlyIncome(Married)"/>
    <tableColumn id="2" xr3:uid="{1FE4F192-C942-6F47-9390-035836A0B760}" name="MonthlyIncome(Divorced)"/>
    <tableColumn id="3" xr3:uid="{0167D500-1EC1-FC4B-8FFA-FFF34EB197AA}" name="MonthlyIncome(Singl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F328B9-94FC-D14B-A071-D69311A0F407}" name="Table6" displayName="Table6" ref="H5:M18" totalsRowShown="0" headerRowDxfId="38" dataDxfId="36" headerRowBorderDxfId="37" tableBorderDxfId="35">
  <autoFilter ref="H5:M18" xr:uid="{19F328B9-94FC-D14B-A071-D69311A0F407}"/>
  <tableColumns count="6">
    <tableColumn id="1" xr3:uid="{FFD7DFA9-FEB7-ED47-B745-DAAA28538EB4}" name="MonthlyIncome(Married)" dataDxfId="34"/>
    <tableColumn id="2" xr3:uid="{F4FB700C-ECBA-8440-A247-FE7A5EFFCDEE}" name="Values" dataDxfId="33"/>
    <tableColumn id="3" xr3:uid="{8D846C55-74A7-BE40-AD0E-3F4EA8B02E55}" name="MonthlyIncome(Divorced)" dataDxfId="32"/>
    <tableColumn id="4" xr3:uid="{FE116DCB-C061-454D-AA3F-E72A4D1A3F16}" name="Values2" dataDxfId="31"/>
    <tableColumn id="5" xr3:uid="{67445BEE-E71C-8A4A-8FA7-EF85B9250219}" name="MonthlyIncome(Single)" dataDxfId="30"/>
    <tableColumn id="6" xr3:uid="{01F2CEEC-7735-264D-AA2E-FFEE9FD17CC3}" name="Values3" dataDxfId="29"/>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235EB54-CBD7-6E46-AE94-954D214D8772}" name="Table7" displayName="Table7" ref="A1:B121" totalsRowShown="0" headerRowDxfId="28">
  <autoFilter ref="A1:B121" xr:uid="{E235EB54-CBD7-6E46-AE94-954D214D8772}"/>
  <tableColumns count="2">
    <tableColumn id="1" xr3:uid="{D6B0045F-D8F9-4E41-A5B2-1E94C8470747}" name="Attrition"/>
    <tableColumn id="2" xr3:uid="{1CAF4425-1DED-1A4C-B40F-F2F59A585C57}" name="JobRol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BFA0276-7E19-A041-B13C-7486C71B294E}" name="Table8" displayName="Table8" ref="E5:F18" totalsRowShown="0" headerRowDxfId="27" dataDxfId="25" headerRowBorderDxfId="26" tableBorderDxfId="24">
  <autoFilter ref="E5:F18" xr:uid="{FBFA0276-7E19-A041-B13C-7486C71B294E}"/>
  <tableColumns count="2">
    <tableColumn id="1" xr3:uid="{9AC8208B-A0EF-4747-B1F3-C3EED475F70F}" name="JobSatisfaction" dataDxfId="23"/>
    <tableColumn id="2" xr3:uid="{B7A7073F-FC3D-5E40-8A6B-434AE2ABD173}" name="Values" dataDxfId="22"/>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C96543F-09BF-4641-87C3-FE9071575392}" name="Table9" displayName="Table9" ref="I4:K44" totalsRowShown="0" headerRowDxfId="21">
  <autoFilter ref="I4:K44" xr:uid="{8C96543F-09BF-4641-87C3-FE9071575392}"/>
  <tableColumns count="3">
    <tableColumn id="1" xr3:uid="{99B9D33C-E182-854E-A6C7-1FA96264A3F7}" name="Research Scientist"/>
    <tableColumn id="2" xr3:uid="{F84971C8-2C0F-4D48-BACD-6DE6690B3FEB}" name="Laboratory Technician"/>
    <tableColumn id="3" xr3:uid="{08482D75-FD77-0543-BC8E-AC088B0BBBA8}" name="Research Director"/>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1EF0E6C-8194-084C-8056-29F14F26D5AC}" name="Table10" displayName="Table10" ref="A1:C121" totalsRowShown="0" headerRowDxfId="20">
  <autoFilter ref="A1:C121" xr:uid="{F1EF0E6C-8194-084C-8056-29F14F26D5AC}"/>
  <tableColumns count="3">
    <tableColumn id="1" xr3:uid="{2D2C751F-E192-5040-BF96-B280D922D709}" name="JobRole"/>
    <tableColumn id="2" xr3:uid="{C505FBEE-5518-ED43-A1B7-A674173DBE11}" name="JobSatisfaction"/>
    <tableColumn id="3" xr3:uid="{A910F00F-C33F-D949-8778-CEA7362F4164}" name="OverTime"/>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F2C2AFB-1DBC-5D49-BA3C-0BF2BD560254}" name="Table11" displayName="Table11" ref="A1:D31" totalsRowShown="0" headerRowDxfId="19" dataDxfId="18">
  <autoFilter ref="A1:D31" xr:uid="{FF2C2AFB-1DBC-5D49-BA3C-0BF2BD560254}"/>
  <tableColumns count="4">
    <tableColumn id="1" xr3:uid="{9F8291B8-301A-E540-83BD-E111AAB046C9}" name="ParticipantID" dataDxfId="17"/>
    <tableColumn id="2" xr3:uid="{2011CB99-E5D0-B649-A33E-C7E8FDCF2964}" name="JobSatisfaction_2023" dataDxfId="16"/>
    <tableColumn id="3" xr3:uid="{7485D22D-2D7F-1943-83C2-B80308725235}" name="JobSatisfaction_2024" dataDxfId="15"/>
    <tableColumn id="4" xr3:uid="{FBE6D231-88BB-DE4D-A2BE-9941068E3299}" name="Difference(2024-2023)">
      <calculatedColumnFormula>C2-B2</calculatedColumnFormula>
    </tableColumn>
  </tableColumns>
  <tableStyleInfo name="TableStyleMedium1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37065F7-5273-4748-8FE3-11906004FDB9}" name="Table12" displayName="Table12" ref="B40:E53" totalsRowShown="0" headerRowDxfId="14" dataDxfId="12" headerRowBorderDxfId="13" tableBorderDxfId="11">
  <autoFilter ref="B40:E53" xr:uid="{437065F7-5273-4748-8FE3-11906004FDB9}"/>
  <tableColumns count="4">
    <tableColumn id="1" xr3:uid="{4C2039B5-7A7C-744F-8FC1-FF906D1038BA}" name="JobSatisfaction_2023" dataDxfId="10"/>
    <tableColumn id="2" xr3:uid="{BA49C277-16F5-6B4C-AEFE-6C76482290F3}" name="Values" dataDxfId="9"/>
    <tableColumn id="3" xr3:uid="{91B6BE45-27D3-224D-8EAF-ABD79E8FBD7B}" name="JobSatisfaction_2024" dataDxfId="8"/>
    <tableColumn id="4" xr3:uid="{873C0BC6-D5BD-FA47-AAEA-F3E33866B8E5}" name="Values2" dataDxfId="7"/>
  </tableColumns>
  <tableStyleInfo name="TableStyleMedium1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7D7FB69-7BF6-1D40-ADBC-35632FA4610C}" name="Table13" displayName="Table13" ref="A1:C67" totalsRowShown="0" headerRowDxfId="6" dataDxfId="5">
  <autoFilter ref="A1:C67" xr:uid="{D7D7FB69-7BF6-1D40-ADBC-35632FA4610C}"/>
  <tableColumns count="3">
    <tableColumn id="1" xr3:uid="{E7A0E9E1-9D07-E44F-A8A9-57C34B8F9000}" name="Group" dataDxfId="4"/>
    <tableColumn id="2" xr3:uid="{02437A00-D480-A54B-9AFD-8374EBEA940F}" name="JobLevel" dataDxfId="3"/>
    <tableColumn id="3" xr3:uid="{DC647CA8-AB9E-3945-AF0B-4A96F74E234E}" name="RetentionAfter6Months" dataDxfId="2"/>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4.xml"/><Relationship Id="rId4" Type="http://schemas.openxmlformats.org/officeDocument/2006/relationships/table" Target="../tables/table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49BC6-6318-4D83-AD9B-1357C091D9D7}">
  <sheetPr filterMode="1"/>
  <dimension ref="A1:L121"/>
  <sheetViews>
    <sheetView workbookViewId="0">
      <selection activeCell="G4" sqref="G4:G85"/>
    </sheetView>
  </sheetViews>
  <sheetFormatPr baseColWidth="10" defaultColWidth="8.83203125" defaultRowHeight="15"/>
  <cols>
    <col min="1" max="1" width="17.33203125" customWidth="1"/>
    <col min="6" max="6" width="16.83203125" customWidth="1"/>
    <col min="7" max="7" width="13.83203125" customWidth="1"/>
    <col min="8" max="8" width="18.5" customWidth="1"/>
    <col min="9" max="9" width="15.5" customWidth="1"/>
    <col min="11" max="11" width="19" customWidth="1"/>
    <col min="12" max="12" width="16" customWidth="1"/>
  </cols>
  <sheetData>
    <row r="1" spans="1:12">
      <c r="A1" t="s">
        <v>21</v>
      </c>
      <c r="B1" t="s">
        <v>0</v>
      </c>
      <c r="C1" s="25" t="s">
        <v>1</v>
      </c>
      <c r="D1" t="s">
        <v>2</v>
      </c>
      <c r="E1" t="s">
        <v>3</v>
      </c>
      <c r="F1" s="48" t="s">
        <v>4</v>
      </c>
      <c r="G1" s="48" t="s">
        <v>5</v>
      </c>
      <c r="H1" t="s">
        <v>6</v>
      </c>
      <c r="I1" t="s">
        <v>7</v>
      </c>
      <c r="J1" s="48" t="s">
        <v>8</v>
      </c>
      <c r="K1" t="s">
        <v>9</v>
      </c>
      <c r="L1" t="s">
        <v>10</v>
      </c>
    </row>
    <row r="2" spans="1:12" hidden="1">
      <c r="A2">
        <v>1</v>
      </c>
      <c r="B2">
        <v>49</v>
      </c>
      <c r="C2" t="s">
        <v>14</v>
      </c>
      <c r="D2" t="s">
        <v>15</v>
      </c>
      <c r="E2">
        <v>2</v>
      </c>
      <c r="F2" t="s">
        <v>16</v>
      </c>
      <c r="G2">
        <v>2</v>
      </c>
      <c r="H2" t="s">
        <v>17</v>
      </c>
      <c r="I2">
        <v>5130</v>
      </c>
      <c r="J2" t="s">
        <v>14</v>
      </c>
      <c r="K2">
        <v>1</v>
      </c>
      <c r="L2">
        <v>10</v>
      </c>
    </row>
    <row r="3" spans="1:12" hidden="1">
      <c r="A3">
        <v>2</v>
      </c>
      <c r="B3">
        <v>37</v>
      </c>
      <c r="C3" t="s">
        <v>11</v>
      </c>
      <c r="D3" t="s">
        <v>15</v>
      </c>
      <c r="E3">
        <v>1</v>
      </c>
      <c r="F3" t="s">
        <v>18</v>
      </c>
      <c r="G3">
        <v>3</v>
      </c>
      <c r="H3" t="s">
        <v>13</v>
      </c>
      <c r="I3">
        <v>2090</v>
      </c>
      <c r="J3" t="s">
        <v>11</v>
      </c>
      <c r="K3">
        <v>0</v>
      </c>
      <c r="L3">
        <v>7</v>
      </c>
    </row>
    <row r="4" spans="1:12">
      <c r="A4">
        <v>3</v>
      </c>
      <c r="B4">
        <v>33</v>
      </c>
      <c r="C4" t="s">
        <v>14</v>
      </c>
      <c r="D4" t="s">
        <v>12</v>
      </c>
      <c r="E4">
        <v>1</v>
      </c>
      <c r="F4" t="s">
        <v>16</v>
      </c>
      <c r="G4">
        <v>3</v>
      </c>
      <c r="H4" t="s">
        <v>17</v>
      </c>
      <c r="I4">
        <v>2909</v>
      </c>
      <c r="J4" t="s">
        <v>11</v>
      </c>
      <c r="K4">
        <v>0</v>
      </c>
      <c r="L4">
        <v>8</v>
      </c>
    </row>
    <row r="5" spans="1:12" hidden="1">
      <c r="A5">
        <v>4</v>
      </c>
      <c r="B5">
        <v>27</v>
      </c>
      <c r="C5" t="s">
        <v>14</v>
      </c>
      <c r="D5" t="s">
        <v>15</v>
      </c>
      <c r="E5">
        <v>1</v>
      </c>
      <c r="F5" t="s">
        <v>18</v>
      </c>
      <c r="G5">
        <v>2</v>
      </c>
      <c r="H5" t="s">
        <v>17</v>
      </c>
      <c r="I5">
        <v>3468</v>
      </c>
      <c r="J5" t="s">
        <v>14</v>
      </c>
      <c r="K5">
        <v>1</v>
      </c>
      <c r="L5">
        <v>6</v>
      </c>
    </row>
    <row r="6" spans="1:12" hidden="1">
      <c r="A6">
        <v>5</v>
      </c>
      <c r="B6">
        <v>32</v>
      </c>
      <c r="C6" t="s">
        <v>14</v>
      </c>
      <c r="D6" t="s">
        <v>15</v>
      </c>
      <c r="E6">
        <v>1</v>
      </c>
      <c r="F6" t="s">
        <v>18</v>
      </c>
      <c r="G6">
        <v>4</v>
      </c>
      <c r="H6" t="s">
        <v>13</v>
      </c>
      <c r="I6">
        <v>3068</v>
      </c>
      <c r="J6" t="s">
        <v>14</v>
      </c>
      <c r="K6">
        <v>0</v>
      </c>
      <c r="L6">
        <v>8</v>
      </c>
    </row>
    <row r="7" spans="1:12" hidden="1">
      <c r="A7">
        <v>6</v>
      </c>
      <c r="B7">
        <v>59</v>
      </c>
      <c r="C7" t="s">
        <v>14</v>
      </c>
      <c r="D7" t="s">
        <v>12</v>
      </c>
      <c r="E7">
        <v>1</v>
      </c>
      <c r="F7" t="s">
        <v>18</v>
      </c>
      <c r="G7">
        <v>1</v>
      </c>
      <c r="H7" t="s">
        <v>17</v>
      </c>
      <c r="I7">
        <v>2670</v>
      </c>
      <c r="J7" t="s">
        <v>11</v>
      </c>
      <c r="K7">
        <v>3</v>
      </c>
      <c r="L7">
        <v>12</v>
      </c>
    </row>
    <row r="8" spans="1:12" hidden="1">
      <c r="A8">
        <v>7</v>
      </c>
      <c r="B8">
        <v>30</v>
      </c>
      <c r="C8" t="s">
        <v>14</v>
      </c>
      <c r="D8" t="s">
        <v>15</v>
      </c>
      <c r="E8">
        <v>1</v>
      </c>
      <c r="F8" t="s">
        <v>18</v>
      </c>
      <c r="G8">
        <v>3</v>
      </c>
      <c r="H8" t="s">
        <v>19</v>
      </c>
      <c r="I8">
        <v>2693</v>
      </c>
      <c r="J8" t="s">
        <v>14</v>
      </c>
      <c r="K8">
        <v>1</v>
      </c>
      <c r="L8">
        <v>1</v>
      </c>
    </row>
    <row r="9" spans="1:12" hidden="1">
      <c r="A9">
        <v>8</v>
      </c>
      <c r="B9">
        <v>35</v>
      </c>
      <c r="C9" t="s">
        <v>14</v>
      </c>
      <c r="D9" t="s">
        <v>15</v>
      </c>
      <c r="E9">
        <v>1</v>
      </c>
      <c r="F9" t="s">
        <v>18</v>
      </c>
      <c r="G9">
        <v>2</v>
      </c>
      <c r="H9" t="s">
        <v>17</v>
      </c>
      <c r="I9">
        <v>2426</v>
      </c>
      <c r="J9" t="s">
        <v>14</v>
      </c>
      <c r="K9">
        <v>1</v>
      </c>
      <c r="L9">
        <v>6</v>
      </c>
    </row>
    <row r="10" spans="1:12" hidden="1">
      <c r="A10">
        <v>9</v>
      </c>
      <c r="B10">
        <v>29</v>
      </c>
      <c r="C10" t="s">
        <v>14</v>
      </c>
      <c r="D10" t="s">
        <v>12</v>
      </c>
      <c r="E10">
        <v>2</v>
      </c>
      <c r="F10" t="s">
        <v>18</v>
      </c>
      <c r="G10">
        <v>3</v>
      </c>
      <c r="H10" t="s">
        <v>13</v>
      </c>
      <c r="I10">
        <v>4193</v>
      </c>
      <c r="J10" t="s">
        <v>11</v>
      </c>
      <c r="K10">
        <v>0</v>
      </c>
      <c r="L10">
        <v>10</v>
      </c>
    </row>
    <row r="11" spans="1:12" hidden="1">
      <c r="A11">
        <v>10</v>
      </c>
      <c r="B11">
        <v>31</v>
      </c>
      <c r="C11" t="s">
        <v>14</v>
      </c>
      <c r="D11" t="s">
        <v>15</v>
      </c>
      <c r="E11">
        <v>1</v>
      </c>
      <c r="F11" t="s">
        <v>16</v>
      </c>
      <c r="G11">
        <v>3</v>
      </c>
      <c r="H11" t="s">
        <v>19</v>
      </c>
      <c r="I11">
        <v>2911</v>
      </c>
      <c r="J11" t="s">
        <v>14</v>
      </c>
      <c r="K11">
        <v>1</v>
      </c>
      <c r="L11">
        <v>5</v>
      </c>
    </row>
    <row r="12" spans="1:12" hidden="1">
      <c r="A12">
        <v>11</v>
      </c>
      <c r="B12">
        <v>34</v>
      </c>
      <c r="C12" t="s">
        <v>14</v>
      </c>
      <c r="D12" t="s">
        <v>15</v>
      </c>
      <c r="E12">
        <v>1</v>
      </c>
      <c r="F12" t="s">
        <v>18</v>
      </c>
      <c r="G12">
        <v>4</v>
      </c>
      <c r="H12" t="s">
        <v>19</v>
      </c>
      <c r="I12">
        <v>2661</v>
      </c>
      <c r="J12" t="s">
        <v>14</v>
      </c>
      <c r="K12">
        <v>1</v>
      </c>
      <c r="L12">
        <v>3</v>
      </c>
    </row>
    <row r="13" spans="1:12" hidden="1">
      <c r="A13">
        <v>12</v>
      </c>
      <c r="B13">
        <v>28</v>
      </c>
      <c r="C13" t="s">
        <v>11</v>
      </c>
      <c r="D13" t="s">
        <v>15</v>
      </c>
      <c r="E13">
        <v>1</v>
      </c>
      <c r="F13" t="s">
        <v>18</v>
      </c>
      <c r="G13">
        <v>3</v>
      </c>
      <c r="H13" t="s">
        <v>13</v>
      </c>
      <c r="I13">
        <v>2028</v>
      </c>
      <c r="J13" t="s">
        <v>11</v>
      </c>
      <c r="K13">
        <v>0</v>
      </c>
      <c r="L13">
        <v>6</v>
      </c>
    </row>
    <row r="14" spans="1:12">
      <c r="A14">
        <v>13</v>
      </c>
      <c r="B14">
        <v>32</v>
      </c>
      <c r="C14" t="s">
        <v>14</v>
      </c>
      <c r="D14" t="s">
        <v>15</v>
      </c>
      <c r="E14">
        <v>1</v>
      </c>
      <c r="F14" t="s">
        <v>16</v>
      </c>
      <c r="G14">
        <v>2</v>
      </c>
      <c r="H14" t="s">
        <v>19</v>
      </c>
      <c r="I14">
        <v>3298</v>
      </c>
      <c r="J14" t="s">
        <v>11</v>
      </c>
      <c r="K14">
        <v>2</v>
      </c>
      <c r="L14">
        <v>7</v>
      </c>
    </row>
    <row r="15" spans="1:12" hidden="1">
      <c r="A15">
        <v>14</v>
      </c>
      <c r="B15">
        <v>22</v>
      </c>
      <c r="C15" t="s">
        <v>14</v>
      </c>
      <c r="D15" t="s">
        <v>15</v>
      </c>
      <c r="E15">
        <v>1</v>
      </c>
      <c r="F15" t="s">
        <v>18</v>
      </c>
      <c r="G15">
        <v>4</v>
      </c>
      <c r="H15" t="s">
        <v>19</v>
      </c>
      <c r="I15">
        <v>2935</v>
      </c>
      <c r="J15" t="s">
        <v>11</v>
      </c>
      <c r="K15">
        <v>2</v>
      </c>
      <c r="L15">
        <v>1</v>
      </c>
    </row>
    <row r="16" spans="1:12">
      <c r="A16">
        <v>15</v>
      </c>
      <c r="B16">
        <v>38</v>
      </c>
      <c r="C16" t="s">
        <v>14</v>
      </c>
      <c r="D16" t="s">
        <v>15</v>
      </c>
      <c r="E16">
        <v>1</v>
      </c>
      <c r="F16" t="s">
        <v>16</v>
      </c>
      <c r="G16">
        <v>4</v>
      </c>
      <c r="H16" t="s">
        <v>13</v>
      </c>
      <c r="I16">
        <v>3944</v>
      </c>
      <c r="J16" t="s">
        <v>11</v>
      </c>
      <c r="K16">
        <v>0</v>
      </c>
      <c r="L16">
        <v>6</v>
      </c>
    </row>
    <row r="17" spans="1:12" hidden="1">
      <c r="A17">
        <v>16</v>
      </c>
      <c r="B17">
        <v>34</v>
      </c>
      <c r="C17" t="s">
        <v>14</v>
      </c>
      <c r="D17" t="s">
        <v>12</v>
      </c>
      <c r="E17">
        <v>3</v>
      </c>
      <c r="F17" t="s">
        <v>20</v>
      </c>
      <c r="G17">
        <v>2</v>
      </c>
      <c r="H17" t="s">
        <v>13</v>
      </c>
      <c r="I17">
        <v>11994</v>
      </c>
      <c r="J17" t="s">
        <v>14</v>
      </c>
      <c r="K17">
        <v>0</v>
      </c>
      <c r="L17">
        <v>13</v>
      </c>
    </row>
    <row r="18" spans="1:12" hidden="1">
      <c r="A18">
        <v>17</v>
      </c>
      <c r="B18">
        <v>21</v>
      </c>
      <c r="C18" t="s">
        <v>14</v>
      </c>
      <c r="D18" t="s">
        <v>15</v>
      </c>
      <c r="E18">
        <v>1</v>
      </c>
      <c r="F18" t="s">
        <v>16</v>
      </c>
      <c r="G18">
        <v>4</v>
      </c>
      <c r="H18" t="s">
        <v>13</v>
      </c>
      <c r="I18">
        <v>1232</v>
      </c>
      <c r="J18" t="s">
        <v>14</v>
      </c>
      <c r="K18">
        <v>0</v>
      </c>
      <c r="L18">
        <v>0</v>
      </c>
    </row>
    <row r="19" spans="1:12" hidden="1">
      <c r="A19">
        <v>18</v>
      </c>
      <c r="B19">
        <v>34</v>
      </c>
      <c r="C19" t="s">
        <v>11</v>
      </c>
      <c r="D19" t="s">
        <v>15</v>
      </c>
      <c r="E19">
        <v>1</v>
      </c>
      <c r="F19" t="s">
        <v>16</v>
      </c>
      <c r="G19">
        <v>1</v>
      </c>
      <c r="H19" t="s">
        <v>13</v>
      </c>
      <c r="I19">
        <v>2960</v>
      </c>
      <c r="J19" t="s">
        <v>14</v>
      </c>
      <c r="K19">
        <v>0</v>
      </c>
      <c r="L19">
        <v>8</v>
      </c>
    </row>
    <row r="20" spans="1:12">
      <c r="A20">
        <v>19</v>
      </c>
      <c r="B20">
        <v>32</v>
      </c>
      <c r="C20" t="s">
        <v>11</v>
      </c>
      <c r="D20" t="s">
        <v>12</v>
      </c>
      <c r="E20">
        <v>1</v>
      </c>
      <c r="F20" t="s">
        <v>16</v>
      </c>
      <c r="G20">
        <v>1</v>
      </c>
      <c r="H20" t="s">
        <v>13</v>
      </c>
      <c r="I20">
        <v>3919</v>
      </c>
      <c r="J20" t="s">
        <v>11</v>
      </c>
      <c r="K20">
        <v>0</v>
      </c>
      <c r="L20">
        <v>10</v>
      </c>
    </row>
    <row r="21" spans="1:12" hidden="1">
      <c r="A21">
        <v>20</v>
      </c>
      <c r="B21">
        <v>33</v>
      </c>
      <c r="C21" t="s">
        <v>14</v>
      </c>
      <c r="D21" t="s">
        <v>15</v>
      </c>
      <c r="E21">
        <v>1</v>
      </c>
      <c r="F21" t="s">
        <v>18</v>
      </c>
      <c r="G21">
        <v>4</v>
      </c>
      <c r="H21" t="s">
        <v>13</v>
      </c>
      <c r="I21">
        <v>2496</v>
      </c>
      <c r="J21" t="s">
        <v>14</v>
      </c>
      <c r="K21">
        <v>0</v>
      </c>
      <c r="L21">
        <v>7</v>
      </c>
    </row>
    <row r="22" spans="1:12" hidden="1">
      <c r="A22">
        <v>21</v>
      </c>
      <c r="B22">
        <v>30</v>
      </c>
      <c r="C22" t="s">
        <v>14</v>
      </c>
      <c r="D22" t="s">
        <v>15</v>
      </c>
      <c r="E22">
        <v>1</v>
      </c>
      <c r="F22" t="s">
        <v>18</v>
      </c>
      <c r="G22">
        <v>3</v>
      </c>
      <c r="H22" t="s">
        <v>13</v>
      </c>
      <c r="I22">
        <v>2206</v>
      </c>
      <c r="J22" t="s">
        <v>14</v>
      </c>
      <c r="K22">
        <v>0</v>
      </c>
      <c r="L22">
        <v>10</v>
      </c>
    </row>
    <row r="23" spans="1:12">
      <c r="A23">
        <v>22</v>
      </c>
      <c r="B23">
        <v>24</v>
      </c>
      <c r="C23" t="s">
        <v>11</v>
      </c>
      <c r="D23" t="s">
        <v>15</v>
      </c>
      <c r="E23">
        <v>1</v>
      </c>
      <c r="F23" t="s">
        <v>16</v>
      </c>
      <c r="G23">
        <v>4</v>
      </c>
      <c r="H23" t="s">
        <v>17</v>
      </c>
      <c r="I23">
        <v>2293</v>
      </c>
      <c r="J23" t="s">
        <v>11</v>
      </c>
      <c r="K23">
        <v>1</v>
      </c>
      <c r="L23">
        <v>6</v>
      </c>
    </row>
    <row r="24" spans="1:12" hidden="1">
      <c r="A24">
        <v>23</v>
      </c>
      <c r="B24">
        <v>43</v>
      </c>
      <c r="C24" t="s">
        <v>14</v>
      </c>
      <c r="D24" t="s">
        <v>12</v>
      </c>
      <c r="E24">
        <v>1</v>
      </c>
      <c r="F24" t="s">
        <v>16</v>
      </c>
      <c r="G24">
        <v>3</v>
      </c>
      <c r="H24" t="s">
        <v>19</v>
      </c>
      <c r="I24">
        <v>2645</v>
      </c>
      <c r="J24" t="s">
        <v>14</v>
      </c>
      <c r="K24">
        <v>2</v>
      </c>
      <c r="L24">
        <v>6</v>
      </c>
    </row>
    <row r="25" spans="1:12">
      <c r="A25">
        <v>24</v>
      </c>
      <c r="B25">
        <v>36</v>
      </c>
      <c r="C25" t="s">
        <v>14</v>
      </c>
      <c r="D25" t="s">
        <v>12</v>
      </c>
      <c r="E25">
        <v>1</v>
      </c>
      <c r="F25" t="s">
        <v>16</v>
      </c>
      <c r="G25">
        <v>1</v>
      </c>
      <c r="H25" t="s">
        <v>17</v>
      </c>
      <c r="I25">
        <v>3419</v>
      </c>
      <c r="J25" t="s">
        <v>11</v>
      </c>
      <c r="K25">
        <v>1</v>
      </c>
      <c r="L25">
        <v>6</v>
      </c>
    </row>
    <row r="26" spans="1:12" hidden="1">
      <c r="A26">
        <v>25</v>
      </c>
      <c r="B26">
        <v>35</v>
      </c>
      <c r="C26" t="s">
        <v>14</v>
      </c>
      <c r="D26" t="s">
        <v>15</v>
      </c>
      <c r="E26">
        <v>1</v>
      </c>
      <c r="F26" t="s">
        <v>18</v>
      </c>
      <c r="G26">
        <v>4</v>
      </c>
      <c r="H26" t="s">
        <v>19</v>
      </c>
      <c r="I26">
        <v>1951</v>
      </c>
      <c r="J26" t="s">
        <v>14</v>
      </c>
      <c r="K26">
        <v>1</v>
      </c>
      <c r="L26">
        <v>1</v>
      </c>
    </row>
    <row r="27" spans="1:12" hidden="1">
      <c r="A27">
        <v>26</v>
      </c>
      <c r="B27">
        <v>27</v>
      </c>
      <c r="C27" t="s">
        <v>14</v>
      </c>
      <c r="D27" t="s">
        <v>12</v>
      </c>
      <c r="E27">
        <v>1</v>
      </c>
      <c r="F27" t="s">
        <v>18</v>
      </c>
      <c r="G27">
        <v>1</v>
      </c>
      <c r="H27" t="s">
        <v>19</v>
      </c>
      <c r="I27">
        <v>2341</v>
      </c>
      <c r="J27" t="s">
        <v>14</v>
      </c>
      <c r="K27">
        <v>1</v>
      </c>
      <c r="L27">
        <v>1</v>
      </c>
    </row>
    <row r="28" spans="1:12" hidden="1">
      <c r="A28">
        <v>27</v>
      </c>
      <c r="B28">
        <v>26</v>
      </c>
      <c r="C28" t="s">
        <v>11</v>
      </c>
      <c r="D28" t="s">
        <v>15</v>
      </c>
      <c r="E28">
        <v>1</v>
      </c>
      <c r="F28" t="s">
        <v>18</v>
      </c>
      <c r="G28">
        <v>3</v>
      </c>
      <c r="H28" t="s">
        <v>13</v>
      </c>
      <c r="I28">
        <v>2293</v>
      </c>
      <c r="J28" t="s">
        <v>14</v>
      </c>
      <c r="K28">
        <v>0</v>
      </c>
      <c r="L28">
        <v>1</v>
      </c>
    </row>
    <row r="29" spans="1:12" hidden="1">
      <c r="A29">
        <v>28</v>
      </c>
      <c r="B29">
        <v>30</v>
      </c>
      <c r="C29" t="s">
        <v>14</v>
      </c>
      <c r="D29" t="s">
        <v>12</v>
      </c>
      <c r="E29">
        <v>2</v>
      </c>
      <c r="F29" t="s">
        <v>18</v>
      </c>
      <c r="G29">
        <v>4</v>
      </c>
      <c r="H29" t="s">
        <v>13</v>
      </c>
      <c r="I29">
        <v>4011</v>
      </c>
      <c r="J29" t="s">
        <v>14</v>
      </c>
      <c r="K29">
        <v>0</v>
      </c>
      <c r="L29">
        <v>12</v>
      </c>
    </row>
    <row r="30" spans="1:12" hidden="1">
      <c r="A30">
        <v>29</v>
      </c>
      <c r="B30">
        <v>41</v>
      </c>
      <c r="C30" t="s">
        <v>11</v>
      </c>
      <c r="D30" t="s">
        <v>12</v>
      </c>
      <c r="E30">
        <v>5</v>
      </c>
      <c r="F30" t="s">
        <v>20</v>
      </c>
      <c r="G30">
        <v>3</v>
      </c>
      <c r="H30" t="s">
        <v>17</v>
      </c>
      <c r="I30">
        <v>19545</v>
      </c>
      <c r="J30" t="s">
        <v>14</v>
      </c>
      <c r="K30">
        <v>0</v>
      </c>
      <c r="L30">
        <v>23</v>
      </c>
    </row>
    <row r="31" spans="1:12" hidden="1">
      <c r="A31">
        <v>30</v>
      </c>
      <c r="B31">
        <v>37</v>
      </c>
      <c r="C31" t="s">
        <v>14</v>
      </c>
      <c r="D31" t="s">
        <v>15</v>
      </c>
      <c r="E31">
        <v>1</v>
      </c>
      <c r="F31" t="s">
        <v>16</v>
      </c>
      <c r="G31">
        <v>2</v>
      </c>
      <c r="H31" t="s">
        <v>17</v>
      </c>
      <c r="I31">
        <v>3022</v>
      </c>
      <c r="J31" t="s">
        <v>14</v>
      </c>
      <c r="K31">
        <v>0</v>
      </c>
      <c r="L31">
        <v>8</v>
      </c>
    </row>
    <row r="32" spans="1:12" hidden="1">
      <c r="A32">
        <v>31</v>
      </c>
      <c r="B32">
        <v>35</v>
      </c>
      <c r="C32" t="s">
        <v>14</v>
      </c>
      <c r="D32" t="s">
        <v>15</v>
      </c>
      <c r="E32">
        <v>1</v>
      </c>
      <c r="F32" t="s">
        <v>18</v>
      </c>
      <c r="G32">
        <v>4</v>
      </c>
      <c r="H32" t="s">
        <v>17</v>
      </c>
      <c r="I32">
        <v>2269</v>
      </c>
      <c r="J32" t="s">
        <v>14</v>
      </c>
      <c r="K32">
        <v>0</v>
      </c>
      <c r="L32">
        <v>1</v>
      </c>
    </row>
    <row r="33" spans="1:12" hidden="1">
      <c r="A33">
        <v>32</v>
      </c>
      <c r="B33">
        <v>48</v>
      </c>
      <c r="C33" t="s">
        <v>11</v>
      </c>
      <c r="D33" t="s">
        <v>15</v>
      </c>
      <c r="E33">
        <v>3</v>
      </c>
      <c r="F33" t="s">
        <v>18</v>
      </c>
      <c r="G33">
        <v>3</v>
      </c>
      <c r="H33" t="s">
        <v>13</v>
      </c>
      <c r="I33">
        <v>5381</v>
      </c>
      <c r="J33" t="s">
        <v>11</v>
      </c>
      <c r="K33">
        <v>0</v>
      </c>
      <c r="L33">
        <v>23</v>
      </c>
    </row>
    <row r="34" spans="1:12" hidden="1">
      <c r="A34">
        <v>33</v>
      </c>
      <c r="B34">
        <v>28</v>
      </c>
      <c r="C34" t="s">
        <v>11</v>
      </c>
      <c r="D34" t="s">
        <v>15</v>
      </c>
      <c r="E34">
        <v>1</v>
      </c>
      <c r="F34" t="s">
        <v>18</v>
      </c>
      <c r="G34">
        <v>3</v>
      </c>
      <c r="H34" t="s">
        <v>13</v>
      </c>
      <c r="I34">
        <v>3441</v>
      </c>
      <c r="J34" t="s">
        <v>11</v>
      </c>
      <c r="K34">
        <v>0</v>
      </c>
      <c r="L34">
        <v>2</v>
      </c>
    </row>
    <row r="35" spans="1:12" hidden="1">
      <c r="A35">
        <v>34</v>
      </c>
      <c r="B35">
        <v>33</v>
      </c>
      <c r="C35" t="s">
        <v>14</v>
      </c>
      <c r="D35" t="s">
        <v>12</v>
      </c>
      <c r="E35">
        <v>3</v>
      </c>
      <c r="F35" t="s">
        <v>20</v>
      </c>
      <c r="G35">
        <v>4</v>
      </c>
      <c r="H35" t="s">
        <v>13</v>
      </c>
      <c r="I35">
        <v>13458</v>
      </c>
      <c r="J35" t="s">
        <v>11</v>
      </c>
      <c r="K35">
        <v>0</v>
      </c>
      <c r="L35">
        <v>15</v>
      </c>
    </row>
    <row r="36" spans="1:12" hidden="1">
      <c r="A36">
        <v>35</v>
      </c>
      <c r="B36">
        <v>35</v>
      </c>
      <c r="C36" t="s">
        <v>14</v>
      </c>
      <c r="D36" t="s">
        <v>12</v>
      </c>
      <c r="E36">
        <v>1</v>
      </c>
      <c r="F36" t="s">
        <v>18</v>
      </c>
      <c r="G36">
        <v>1</v>
      </c>
      <c r="H36" t="s">
        <v>17</v>
      </c>
      <c r="I36">
        <v>4014</v>
      </c>
      <c r="J36" t="s">
        <v>11</v>
      </c>
      <c r="K36">
        <v>1</v>
      </c>
      <c r="L36">
        <v>4</v>
      </c>
    </row>
    <row r="37" spans="1:12" hidden="1">
      <c r="A37">
        <v>36</v>
      </c>
      <c r="B37">
        <v>31</v>
      </c>
      <c r="C37" t="s">
        <v>14</v>
      </c>
      <c r="D37" t="s">
        <v>15</v>
      </c>
      <c r="E37">
        <v>2</v>
      </c>
      <c r="F37" t="s">
        <v>18</v>
      </c>
      <c r="G37">
        <v>4</v>
      </c>
      <c r="H37" t="s">
        <v>19</v>
      </c>
      <c r="I37">
        <v>5915</v>
      </c>
      <c r="J37" t="s">
        <v>14</v>
      </c>
      <c r="K37">
        <v>1</v>
      </c>
      <c r="L37">
        <v>10</v>
      </c>
    </row>
    <row r="38" spans="1:12" hidden="1">
      <c r="A38">
        <v>37</v>
      </c>
      <c r="B38">
        <v>38</v>
      </c>
      <c r="C38" t="s">
        <v>14</v>
      </c>
      <c r="D38" t="s">
        <v>12</v>
      </c>
      <c r="E38">
        <v>2</v>
      </c>
      <c r="F38" t="s">
        <v>18</v>
      </c>
      <c r="G38">
        <v>4</v>
      </c>
      <c r="H38" t="s">
        <v>13</v>
      </c>
      <c r="I38">
        <v>2406</v>
      </c>
      <c r="J38" t="s">
        <v>14</v>
      </c>
      <c r="K38">
        <v>0</v>
      </c>
      <c r="L38">
        <v>10</v>
      </c>
    </row>
    <row r="39" spans="1:12" hidden="1">
      <c r="A39">
        <v>38</v>
      </c>
      <c r="B39">
        <v>50</v>
      </c>
      <c r="C39" t="s">
        <v>14</v>
      </c>
      <c r="D39" t="s">
        <v>12</v>
      </c>
      <c r="E39">
        <v>5</v>
      </c>
      <c r="F39" t="s">
        <v>20</v>
      </c>
      <c r="G39">
        <v>3</v>
      </c>
      <c r="H39" t="s">
        <v>19</v>
      </c>
      <c r="I39">
        <v>18740</v>
      </c>
      <c r="J39" t="s">
        <v>11</v>
      </c>
      <c r="K39">
        <v>1</v>
      </c>
      <c r="L39">
        <v>29</v>
      </c>
    </row>
    <row r="40" spans="1:12" hidden="1">
      <c r="A40">
        <v>39</v>
      </c>
      <c r="B40">
        <v>45</v>
      </c>
      <c r="C40" t="s">
        <v>14</v>
      </c>
      <c r="D40" t="s">
        <v>15</v>
      </c>
      <c r="E40">
        <v>3</v>
      </c>
      <c r="F40" t="s">
        <v>16</v>
      </c>
      <c r="G40">
        <v>1</v>
      </c>
      <c r="H40" t="s">
        <v>19</v>
      </c>
      <c r="I40">
        <v>9724</v>
      </c>
      <c r="J40" t="s">
        <v>14</v>
      </c>
      <c r="K40">
        <v>1</v>
      </c>
      <c r="L40">
        <v>25</v>
      </c>
    </row>
    <row r="41" spans="1:12" hidden="1">
      <c r="A41">
        <v>40</v>
      </c>
      <c r="B41">
        <v>35</v>
      </c>
      <c r="C41" t="s">
        <v>14</v>
      </c>
      <c r="D41" t="s">
        <v>15</v>
      </c>
      <c r="E41">
        <v>1</v>
      </c>
      <c r="F41" t="s">
        <v>16</v>
      </c>
      <c r="G41">
        <v>1</v>
      </c>
      <c r="H41" t="s">
        <v>17</v>
      </c>
      <c r="I41">
        <v>2194</v>
      </c>
      <c r="J41" t="s">
        <v>14</v>
      </c>
      <c r="K41">
        <v>1</v>
      </c>
      <c r="L41">
        <v>5</v>
      </c>
    </row>
    <row r="42" spans="1:12">
      <c r="A42">
        <v>41</v>
      </c>
      <c r="B42">
        <v>36</v>
      </c>
      <c r="C42" t="s">
        <v>11</v>
      </c>
      <c r="D42" t="s">
        <v>15</v>
      </c>
      <c r="E42">
        <v>1</v>
      </c>
      <c r="F42" t="s">
        <v>16</v>
      </c>
      <c r="G42">
        <v>3</v>
      </c>
      <c r="H42" t="s">
        <v>17</v>
      </c>
      <c r="I42">
        <v>3388</v>
      </c>
      <c r="J42" t="s">
        <v>11</v>
      </c>
      <c r="K42">
        <v>1</v>
      </c>
      <c r="L42">
        <v>2</v>
      </c>
    </row>
    <row r="43" spans="1:12" hidden="1">
      <c r="A43">
        <v>42</v>
      </c>
      <c r="B43">
        <v>29</v>
      </c>
      <c r="C43" t="s">
        <v>14</v>
      </c>
      <c r="D43" t="s">
        <v>15</v>
      </c>
      <c r="E43">
        <v>1</v>
      </c>
      <c r="F43" t="s">
        <v>16</v>
      </c>
      <c r="G43">
        <v>2</v>
      </c>
      <c r="H43" t="s">
        <v>17</v>
      </c>
      <c r="I43">
        <v>2703</v>
      </c>
      <c r="J43" t="s">
        <v>14</v>
      </c>
      <c r="K43">
        <v>1</v>
      </c>
      <c r="L43">
        <v>6</v>
      </c>
    </row>
    <row r="44" spans="1:12" hidden="1">
      <c r="A44">
        <v>43</v>
      </c>
      <c r="B44">
        <v>31</v>
      </c>
      <c r="C44" t="s">
        <v>14</v>
      </c>
      <c r="D44" t="s">
        <v>15</v>
      </c>
      <c r="E44">
        <v>1</v>
      </c>
      <c r="F44" t="s">
        <v>16</v>
      </c>
      <c r="G44">
        <v>2</v>
      </c>
      <c r="H44" t="s">
        <v>13</v>
      </c>
      <c r="I44">
        <v>2501</v>
      </c>
      <c r="J44" t="s">
        <v>14</v>
      </c>
      <c r="K44">
        <v>0</v>
      </c>
      <c r="L44">
        <v>1</v>
      </c>
    </row>
    <row r="45" spans="1:12" hidden="1">
      <c r="A45">
        <v>44</v>
      </c>
      <c r="B45">
        <v>32</v>
      </c>
      <c r="C45" t="s">
        <v>14</v>
      </c>
      <c r="D45" t="s">
        <v>15</v>
      </c>
      <c r="E45">
        <v>2</v>
      </c>
      <c r="F45" t="s">
        <v>16</v>
      </c>
      <c r="G45">
        <v>2</v>
      </c>
      <c r="H45" t="s">
        <v>17</v>
      </c>
      <c r="I45">
        <v>6220</v>
      </c>
      <c r="J45" t="s">
        <v>14</v>
      </c>
      <c r="K45">
        <v>2</v>
      </c>
      <c r="L45">
        <v>10</v>
      </c>
    </row>
    <row r="46" spans="1:12" hidden="1">
      <c r="A46">
        <v>45</v>
      </c>
      <c r="B46">
        <v>36</v>
      </c>
      <c r="C46" t="s">
        <v>14</v>
      </c>
      <c r="D46" t="s">
        <v>12</v>
      </c>
      <c r="E46">
        <v>1</v>
      </c>
      <c r="F46" t="s">
        <v>18</v>
      </c>
      <c r="G46">
        <v>4</v>
      </c>
      <c r="H46" t="s">
        <v>17</v>
      </c>
      <c r="I46">
        <v>3038</v>
      </c>
      <c r="J46" t="s">
        <v>14</v>
      </c>
      <c r="K46">
        <v>0</v>
      </c>
      <c r="L46">
        <v>5</v>
      </c>
    </row>
    <row r="47" spans="1:12" hidden="1">
      <c r="A47">
        <v>46</v>
      </c>
      <c r="B47">
        <v>45</v>
      </c>
      <c r="C47" t="s">
        <v>14</v>
      </c>
      <c r="D47" t="s">
        <v>15</v>
      </c>
      <c r="E47">
        <v>3</v>
      </c>
      <c r="F47" t="s">
        <v>20</v>
      </c>
      <c r="G47">
        <v>1</v>
      </c>
      <c r="H47" t="s">
        <v>17</v>
      </c>
      <c r="I47">
        <v>13245</v>
      </c>
      <c r="J47" t="s">
        <v>11</v>
      </c>
      <c r="K47">
        <v>0</v>
      </c>
      <c r="L47">
        <v>17</v>
      </c>
    </row>
    <row r="48" spans="1:12" hidden="1">
      <c r="A48">
        <v>47</v>
      </c>
      <c r="B48">
        <v>37</v>
      </c>
      <c r="C48" t="s">
        <v>14</v>
      </c>
      <c r="D48" t="s">
        <v>15</v>
      </c>
      <c r="E48">
        <v>3</v>
      </c>
      <c r="F48" t="s">
        <v>20</v>
      </c>
      <c r="G48">
        <v>3</v>
      </c>
      <c r="H48" t="s">
        <v>13</v>
      </c>
      <c r="I48">
        <v>13664</v>
      </c>
      <c r="J48" t="s">
        <v>14</v>
      </c>
      <c r="K48">
        <v>0</v>
      </c>
      <c r="L48">
        <v>16</v>
      </c>
    </row>
    <row r="49" spans="1:12" hidden="1">
      <c r="A49">
        <v>48</v>
      </c>
      <c r="B49">
        <v>30</v>
      </c>
      <c r="C49" t="s">
        <v>14</v>
      </c>
      <c r="D49" t="s">
        <v>15</v>
      </c>
      <c r="E49">
        <v>2</v>
      </c>
      <c r="F49" t="s">
        <v>18</v>
      </c>
      <c r="G49">
        <v>4</v>
      </c>
      <c r="H49" t="s">
        <v>17</v>
      </c>
      <c r="I49">
        <v>5126</v>
      </c>
      <c r="J49" t="s">
        <v>11</v>
      </c>
      <c r="K49">
        <v>2</v>
      </c>
      <c r="L49">
        <v>10</v>
      </c>
    </row>
    <row r="50" spans="1:12" hidden="1">
      <c r="A50">
        <v>49</v>
      </c>
      <c r="B50">
        <v>35</v>
      </c>
      <c r="C50" t="s">
        <v>14</v>
      </c>
      <c r="D50" t="s">
        <v>15</v>
      </c>
      <c r="E50">
        <v>1</v>
      </c>
      <c r="F50" t="s">
        <v>16</v>
      </c>
      <c r="G50">
        <v>3</v>
      </c>
      <c r="H50" t="s">
        <v>13</v>
      </c>
      <c r="I50">
        <v>2859</v>
      </c>
      <c r="J50" t="s">
        <v>14</v>
      </c>
      <c r="K50">
        <v>0</v>
      </c>
      <c r="L50">
        <v>6</v>
      </c>
    </row>
    <row r="51" spans="1:12">
      <c r="A51">
        <v>50</v>
      </c>
      <c r="B51">
        <v>38</v>
      </c>
      <c r="C51" t="s">
        <v>14</v>
      </c>
      <c r="D51" t="s">
        <v>12</v>
      </c>
      <c r="E51">
        <v>2</v>
      </c>
      <c r="F51" t="s">
        <v>16</v>
      </c>
      <c r="G51">
        <v>4</v>
      </c>
      <c r="H51" t="s">
        <v>19</v>
      </c>
      <c r="I51">
        <v>5329</v>
      </c>
      <c r="J51" t="s">
        <v>11</v>
      </c>
      <c r="K51">
        <v>3</v>
      </c>
      <c r="L51">
        <v>17</v>
      </c>
    </row>
    <row r="52" spans="1:12" hidden="1">
      <c r="A52">
        <v>51</v>
      </c>
      <c r="B52">
        <v>51</v>
      </c>
      <c r="C52" t="s">
        <v>14</v>
      </c>
      <c r="D52" t="s">
        <v>15</v>
      </c>
      <c r="E52">
        <v>1</v>
      </c>
      <c r="F52" t="s">
        <v>18</v>
      </c>
      <c r="G52">
        <v>4</v>
      </c>
      <c r="H52" t="s">
        <v>17</v>
      </c>
      <c r="I52">
        <v>2075</v>
      </c>
      <c r="J52" t="s">
        <v>14</v>
      </c>
      <c r="K52">
        <v>2</v>
      </c>
      <c r="L52">
        <v>10</v>
      </c>
    </row>
    <row r="53" spans="1:12" hidden="1">
      <c r="A53">
        <v>52</v>
      </c>
      <c r="B53">
        <v>54</v>
      </c>
      <c r="C53" t="s">
        <v>14</v>
      </c>
      <c r="D53" t="s">
        <v>12</v>
      </c>
      <c r="E53">
        <v>3</v>
      </c>
      <c r="F53" t="s">
        <v>20</v>
      </c>
      <c r="G53">
        <v>3</v>
      </c>
      <c r="H53" t="s">
        <v>17</v>
      </c>
      <c r="I53">
        <v>13549</v>
      </c>
      <c r="J53" t="s">
        <v>14</v>
      </c>
      <c r="K53">
        <v>1</v>
      </c>
      <c r="L53">
        <v>16</v>
      </c>
    </row>
    <row r="54" spans="1:12" hidden="1">
      <c r="A54">
        <v>53</v>
      </c>
      <c r="B54">
        <v>44</v>
      </c>
      <c r="C54" t="s">
        <v>14</v>
      </c>
      <c r="D54" t="s">
        <v>15</v>
      </c>
      <c r="E54">
        <v>2</v>
      </c>
      <c r="F54" t="s">
        <v>18</v>
      </c>
      <c r="G54">
        <v>2</v>
      </c>
      <c r="H54" t="s">
        <v>17</v>
      </c>
      <c r="I54">
        <v>2042</v>
      </c>
      <c r="J54" t="s">
        <v>14</v>
      </c>
      <c r="K54">
        <v>1</v>
      </c>
      <c r="L54">
        <v>17</v>
      </c>
    </row>
    <row r="55" spans="1:12" hidden="1">
      <c r="A55">
        <v>54</v>
      </c>
      <c r="B55">
        <v>32</v>
      </c>
      <c r="C55" t="s">
        <v>14</v>
      </c>
      <c r="D55" t="s">
        <v>15</v>
      </c>
      <c r="E55">
        <v>1</v>
      </c>
      <c r="F55" t="s">
        <v>16</v>
      </c>
      <c r="G55">
        <v>1</v>
      </c>
      <c r="H55" t="s">
        <v>13</v>
      </c>
      <c r="I55">
        <v>2956</v>
      </c>
      <c r="J55" t="s">
        <v>14</v>
      </c>
      <c r="K55">
        <v>0</v>
      </c>
      <c r="L55">
        <v>1</v>
      </c>
    </row>
    <row r="56" spans="1:12" hidden="1">
      <c r="A56">
        <v>55</v>
      </c>
      <c r="B56">
        <v>20</v>
      </c>
      <c r="C56" t="s">
        <v>11</v>
      </c>
      <c r="D56" t="s">
        <v>12</v>
      </c>
      <c r="E56">
        <v>1</v>
      </c>
      <c r="F56" t="s">
        <v>18</v>
      </c>
      <c r="G56">
        <v>4</v>
      </c>
      <c r="H56" t="s">
        <v>13</v>
      </c>
      <c r="I56">
        <v>2926</v>
      </c>
      <c r="J56" t="s">
        <v>11</v>
      </c>
      <c r="K56">
        <v>0</v>
      </c>
      <c r="L56">
        <v>1</v>
      </c>
    </row>
    <row r="57" spans="1:12" hidden="1">
      <c r="A57">
        <v>56</v>
      </c>
      <c r="B57">
        <v>34</v>
      </c>
      <c r="C57" t="s">
        <v>14</v>
      </c>
      <c r="D57" t="s">
        <v>12</v>
      </c>
      <c r="E57">
        <v>2</v>
      </c>
      <c r="F57" t="s">
        <v>16</v>
      </c>
      <c r="G57">
        <v>3</v>
      </c>
      <c r="H57" t="s">
        <v>13</v>
      </c>
      <c r="I57">
        <v>4809</v>
      </c>
      <c r="J57" t="s">
        <v>14</v>
      </c>
      <c r="K57">
        <v>0</v>
      </c>
      <c r="L57">
        <v>16</v>
      </c>
    </row>
    <row r="58" spans="1:12" hidden="1">
      <c r="A58">
        <v>57</v>
      </c>
      <c r="B58">
        <v>50</v>
      </c>
      <c r="C58" t="s">
        <v>14</v>
      </c>
      <c r="D58" t="s">
        <v>12</v>
      </c>
      <c r="E58">
        <v>5</v>
      </c>
      <c r="F58" t="s">
        <v>20</v>
      </c>
      <c r="G58">
        <v>2</v>
      </c>
      <c r="H58" t="s">
        <v>17</v>
      </c>
      <c r="I58">
        <v>18172</v>
      </c>
      <c r="J58" t="s">
        <v>11</v>
      </c>
      <c r="K58">
        <v>0</v>
      </c>
      <c r="L58">
        <v>28</v>
      </c>
    </row>
    <row r="59" spans="1:12" hidden="1">
      <c r="A59">
        <v>58</v>
      </c>
      <c r="B59">
        <v>25</v>
      </c>
      <c r="C59" t="s">
        <v>14</v>
      </c>
      <c r="D59" t="s">
        <v>15</v>
      </c>
      <c r="E59">
        <v>1</v>
      </c>
      <c r="F59" t="s">
        <v>16</v>
      </c>
      <c r="G59">
        <v>4</v>
      </c>
      <c r="H59" t="s">
        <v>17</v>
      </c>
      <c r="I59">
        <v>2889</v>
      </c>
      <c r="J59" t="s">
        <v>14</v>
      </c>
      <c r="K59">
        <v>2</v>
      </c>
      <c r="L59">
        <v>2</v>
      </c>
    </row>
    <row r="60" spans="1:12" hidden="1">
      <c r="A60">
        <v>59</v>
      </c>
      <c r="B60">
        <v>22</v>
      </c>
      <c r="C60" t="s">
        <v>14</v>
      </c>
      <c r="D60" t="s">
        <v>12</v>
      </c>
      <c r="E60">
        <v>1</v>
      </c>
      <c r="F60" t="s">
        <v>18</v>
      </c>
      <c r="G60">
        <v>4</v>
      </c>
      <c r="H60" t="s">
        <v>13</v>
      </c>
      <c r="I60">
        <v>2871</v>
      </c>
      <c r="J60" t="s">
        <v>14</v>
      </c>
      <c r="K60">
        <v>0</v>
      </c>
      <c r="L60">
        <v>1</v>
      </c>
    </row>
    <row r="61" spans="1:12" hidden="1">
      <c r="A61">
        <v>60</v>
      </c>
      <c r="B61">
        <v>34</v>
      </c>
      <c r="C61" t="s">
        <v>11</v>
      </c>
      <c r="D61" t="s">
        <v>15</v>
      </c>
      <c r="E61">
        <v>2</v>
      </c>
      <c r="F61" t="s">
        <v>18</v>
      </c>
      <c r="G61">
        <v>3</v>
      </c>
      <c r="H61" t="s">
        <v>13</v>
      </c>
      <c r="I61">
        <v>6074</v>
      </c>
      <c r="J61" t="s">
        <v>11</v>
      </c>
      <c r="K61">
        <v>0</v>
      </c>
      <c r="L61">
        <v>9</v>
      </c>
    </row>
    <row r="62" spans="1:12" hidden="1">
      <c r="A62">
        <v>61</v>
      </c>
      <c r="B62">
        <v>24</v>
      </c>
      <c r="C62" t="s">
        <v>14</v>
      </c>
      <c r="D62" t="s">
        <v>15</v>
      </c>
      <c r="E62">
        <v>1</v>
      </c>
      <c r="F62" t="s">
        <v>18</v>
      </c>
      <c r="G62">
        <v>3</v>
      </c>
      <c r="H62" t="s">
        <v>17</v>
      </c>
      <c r="I62">
        <v>2774</v>
      </c>
      <c r="J62" t="s">
        <v>14</v>
      </c>
      <c r="K62">
        <v>1</v>
      </c>
      <c r="L62">
        <v>6</v>
      </c>
    </row>
    <row r="63" spans="1:12" hidden="1">
      <c r="A63">
        <v>62</v>
      </c>
      <c r="B63">
        <v>34</v>
      </c>
      <c r="C63" t="s">
        <v>14</v>
      </c>
      <c r="D63" t="s">
        <v>12</v>
      </c>
      <c r="E63">
        <v>2</v>
      </c>
      <c r="F63" t="s">
        <v>16</v>
      </c>
      <c r="G63">
        <v>2</v>
      </c>
      <c r="H63" t="s">
        <v>19</v>
      </c>
      <c r="I63">
        <v>4505</v>
      </c>
      <c r="J63" t="s">
        <v>14</v>
      </c>
      <c r="K63">
        <v>1</v>
      </c>
      <c r="L63">
        <v>12</v>
      </c>
    </row>
    <row r="64" spans="1:12" hidden="1">
      <c r="A64">
        <v>63</v>
      </c>
      <c r="B64">
        <v>36</v>
      </c>
      <c r="C64" t="s">
        <v>14</v>
      </c>
      <c r="D64" t="s">
        <v>12</v>
      </c>
      <c r="E64">
        <v>1</v>
      </c>
      <c r="F64" t="s">
        <v>18</v>
      </c>
      <c r="G64">
        <v>4</v>
      </c>
      <c r="H64" t="s">
        <v>19</v>
      </c>
      <c r="I64">
        <v>2835</v>
      </c>
      <c r="J64" t="s">
        <v>14</v>
      </c>
      <c r="K64">
        <v>1</v>
      </c>
      <c r="L64">
        <v>7</v>
      </c>
    </row>
    <row r="65" spans="1:12" hidden="1">
      <c r="A65">
        <v>64</v>
      </c>
      <c r="B65">
        <v>30</v>
      </c>
      <c r="C65" t="s">
        <v>14</v>
      </c>
      <c r="D65" t="s">
        <v>15</v>
      </c>
      <c r="E65">
        <v>1</v>
      </c>
      <c r="F65" t="s">
        <v>16</v>
      </c>
      <c r="G65">
        <v>3</v>
      </c>
      <c r="H65" t="s">
        <v>19</v>
      </c>
      <c r="I65">
        <v>2613</v>
      </c>
      <c r="J65" t="s">
        <v>14</v>
      </c>
      <c r="K65">
        <v>3</v>
      </c>
      <c r="L65">
        <v>10</v>
      </c>
    </row>
    <row r="66" spans="1:12">
      <c r="A66">
        <v>65</v>
      </c>
      <c r="B66">
        <v>56</v>
      </c>
      <c r="C66" t="s">
        <v>11</v>
      </c>
      <c r="D66" t="s">
        <v>12</v>
      </c>
      <c r="E66">
        <v>1</v>
      </c>
      <c r="F66" t="s">
        <v>16</v>
      </c>
      <c r="G66">
        <v>2</v>
      </c>
      <c r="H66" t="s">
        <v>17</v>
      </c>
      <c r="I66">
        <v>4963</v>
      </c>
      <c r="J66" t="s">
        <v>11</v>
      </c>
      <c r="K66">
        <v>3</v>
      </c>
      <c r="L66">
        <v>7</v>
      </c>
    </row>
    <row r="67" spans="1:12" hidden="1">
      <c r="A67">
        <v>66</v>
      </c>
      <c r="B67">
        <v>51</v>
      </c>
      <c r="C67" t="s">
        <v>14</v>
      </c>
      <c r="D67" t="s">
        <v>15</v>
      </c>
      <c r="E67">
        <v>5</v>
      </c>
      <c r="F67" t="s">
        <v>20</v>
      </c>
      <c r="G67">
        <v>3</v>
      </c>
      <c r="H67" t="s">
        <v>13</v>
      </c>
      <c r="I67">
        <v>19537</v>
      </c>
      <c r="J67" t="s">
        <v>14</v>
      </c>
      <c r="K67">
        <v>0</v>
      </c>
      <c r="L67">
        <v>23</v>
      </c>
    </row>
    <row r="68" spans="1:12" hidden="1">
      <c r="A68">
        <v>67</v>
      </c>
      <c r="B68">
        <v>26</v>
      </c>
      <c r="C68" t="s">
        <v>14</v>
      </c>
      <c r="D68" t="s">
        <v>12</v>
      </c>
      <c r="E68">
        <v>1</v>
      </c>
      <c r="F68" t="s">
        <v>16</v>
      </c>
      <c r="G68">
        <v>2</v>
      </c>
      <c r="H68" t="s">
        <v>17</v>
      </c>
      <c r="I68">
        <v>2368</v>
      </c>
      <c r="J68" t="s">
        <v>14</v>
      </c>
      <c r="K68">
        <v>0</v>
      </c>
      <c r="L68">
        <v>5</v>
      </c>
    </row>
    <row r="69" spans="1:12" hidden="1">
      <c r="A69">
        <v>68</v>
      </c>
      <c r="B69">
        <v>43</v>
      </c>
      <c r="C69" t="s">
        <v>14</v>
      </c>
      <c r="D69" t="s">
        <v>12</v>
      </c>
      <c r="E69">
        <v>1</v>
      </c>
      <c r="F69" t="s">
        <v>16</v>
      </c>
      <c r="G69">
        <v>3</v>
      </c>
      <c r="H69" t="s">
        <v>13</v>
      </c>
      <c r="I69">
        <v>4739</v>
      </c>
      <c r="J69" t="s">
        <v>14</v>
      </c>
      <c r="K69">
        <v>0</v>
      </c>
      <c r="L69">
        <v>18</v>
      </c>
    </row>
    <row r="70" spans="1:12" hidden="1">
      <c r="A70">
        <v>69</v>
      </c>
      <c r="B70">
        <v>45</v>
      </c>
      <c r="C70" t="s">
        <v>14</v>
      </c>
      <c r="D70" t="s">
        <v>15</v>
      </c>
      <c r="E70">
        <v>1</v>
      </c>
      <c r="F70" t="s">
        <v>16</v>
      </c>
      <c r="G70">
        <v>4</v>
      </c>
      <c r="H70" t="s">
        <v>13</v>
      </c>
      <c r="I70">
        <v>3452</v>
      </c>
      <c r="J70" t="s">
        <v>14</v>
      </c>
      <c r="K70">
        <v>0</v>
      </c>
      <c r="L70">
        <v>9</v>
      </c>
    </row>
    <row r="71" spans="1:12">
      <c r="A71">
        <v>70</v>
      </c>
      <c r="B71">
        <v>38</v>
      </c>
      <c r="C71" t="s">
        <v>14</v>
      </c>
      <c r="D71" t="s">
        <v>12</v>
      </c>
      <c r="E71">
        <v>2</v>
      </c>
      <c r="F71" t="s">
        <v>16</v>
      </c>
      <c r="G71">
        <v>3</v>
      </c>
      <c r="H71" t="s">
        <v>13</v>
      </c>
      <c r="I71">
        <v>4317</v>
      </c>
      <c r="J71" t="s">
        <v>11</v>
      </c>
      <c r="K71">
        <v>0</v>
      </c>
      <c r="L71">
        <v>19</v>
      </c>
    </row>
    <row r="72" spans="1:12">
      <c r="A72">
        <v>71</v>
      </c>
      <c r="B72">
        <v>58</v>
      </c>
      <c r="C72" t="s">
        <v>14</v>
      </c>
      <c r="D72" t="s">
        <v>12</v>
      </c>
      <c r="E72">
        <v>1</v>
      </c>
      <c r="F72" t="s">
        <v>16</v>
      </c>
      <c r="G72">
        <v>2</v>
      </c>
      <c r="H72" t="s">
        <v>17</v>
      </c>
      <c r="I72">
        <v>3346</v>
      </c>
      <c r="J72" t="s">
        <v>11</v>
      </c>
      <c r="K72">
        <v>1</v>
      </c>
      <c r="L72">
        <v>9</v>
      </c>
    </row>
    <row r="73" spans="1:12">
      <c r="A73">
        <v>72</v>
      </c>
      <c r="B73">
        <v>27</v>
      </c>
      <c r="C73" t="s">
        <v>14</v>
      </c>
      <c r="D73" t="s">
        <v>15</v>
      </c>
      <c r="E73">
        <v>1</v>
      </c>
      <c r="F73" t="s">
        <v>16</v>
      </c>
      <c r="G73">
        <v>3</v>
      </c>
      <c r="H73" t="s">
        <v>19</v>
      </c>
      <c r="I73">
        <v>2566</v>
      </c>
      <c r="J73" t="s">
        <v>11</v>
      </c>
      <c r="K73">
        <v>1</v>
      </c>
      <c r="L73">
        <v>1</v>
      </c>
    </row>
    <row r="74" spans="1:12">
      <c r="A74">
        <v>73</v>
      </c>
      <c r="B74">
        <v>27</v>
      </c>
      <c r="C74" t="s">
        <v>14</v>
      </c>
      <c r="D74" t="s">
        <v>15</v>
      </c>
      <c r="E74">
        <v>1</v>
      </c>
      <c r="F74" t="s">
        <v>16</v>
      </c>
      <c r="G74">
        <v>2</v>
      </c>
      <c r="H74" t="s">
        <v>17</v>
      </c>
      <c r="I74">
        <v>3058</v>
      </c>
      <c r="J74" t="s">
        <v>11</v>
      </c>
      <c r="K74">
        <v>1</v>
      </c>
      <c r="L74">
        <v>6</v>
      </c>
    </row>
    <row r="75" spans="1:12">
      <c r="A75">
        <v>74</v>
      </c>
      <c r="B75">
        <v>56</v>
      </c>
      <c r="C75" t="s">
        <v>14</v>
      </c>
      <c r="D75" t="s">
        <v>12</v>
      </c>
      <c r="E75">
        <v>1</v>
      </c>
      <c r="F75" t="s">
        <v>16</v>
      </c>
      <c r="G75">
        <v>1</v>
      </c>
      <c r="H75" t="s">
        <v>19</v>
      </c>
      <c r="I75">
        <v>4257</v>
      </c>
      <c r="J75" t="s">
        <v>11</v>
      </c>
      <c r="K75">
        <v>1</v>
      </c>
      <c r="L75">
        <v>19</v>
      </c>
    </row>
    <row r="76" spans="1:12">
      <c r="A76">
        <v>75</v>
      </c>
      <c r="B76">
        <v>31</v>
      </c>
      <c r="C76" t="s">
        <v>14</v>
      </c>
      <c r="D76" t="s">
        <v>12</v>
      </c>
      <c r="E76">
        <v>1</v>
      </c>
      <c r="F76" t="s">
        <v>16</v>
      </c>
      <c r="G76">
        <v>4</v>
      </c>
      <c r="H76" t="s">
        <v>17</v>
      </c>
      <c r="I76">
        <v>3929</v>
      </c>
      <c r="J76" t="s">
        <v>11</v>
      </c>
      <c r="K76">
        <v>1</v>
      </c>
      <c r="L76">
        <v>7</v>
      </c>
    </row>
    <row r="77" spans="1:12" hidden="1">
      <c r="A77">
        <v>76</v>
      </c>
      <c r="B77">
        <v>55</v>
      </c>
      <c r="C77" t="s">
        <v>14</v>
      </c>
      <c r="D77" t="s">
        <v>15</v>
      </c>
      <c r="E77">
        <v>5</v>
      </c>
      <c r="F77" t="s">
        <v>20</v>
      </c>
      <c r="G77">
        <v>2</v>
      </c>
      <c r="H77" t="s">
        <v>13</v>
      </c>
      <c r="I77">
        <v>18722</v>
      </c>
      <c r="J77" t="s">
        <v>14</v>
      </c>
      <c r="K77">
        <v>0</v>
      </c>
      <c r="L77">
        <v>36</v>
      </c>
    </row>
    <row r="78" spans="1:12">
      <c r="A78">
        <v>77</v>
      </c>
      <c r="B78">
        <v>37</v>
      </c>
      <c r="C78" t="s">
        <v>14</v>
      </c>
      <c r="D78" t="s">
        <v>15</v>
      </c>
      <c r="E78">
        <v>1</v>
      </c>
      <c r="F78" t="s">
        <v>16</v>
      </c>
      <c r="G78">
        <v>1</v>
      </c>
      <c r="H78" t="s">
        <v>17</v>
      </c>
      <c r="I78">
        <v>3564</v>
      </c>
      <c r="J78" t="s">
        <v>11</v>
      </c>
      <c r="K78">
        <v>1</v>
      </c>
      <c r="L78">
        <v>8</v>
      </c>
    </row>
    <row r="79" spans="1:12">
      <c r="A79">
        <v>78</v>
      </c>
      <c r="B79">
        <v>34</v>
      </c>
      <c r="C79" t="s">
        <v>14</v>
      </c>
      <c r="D79" t="s">
        <v>15</v>
      </c>
      <c r="E79">
        <v>1</v>
      </c>
      <c r="F79" t="s">
        <v>16</v>
      </c>
      <c r="G79">
        <v>3</v>
      </c>
      <c r="H79" t="s">
        <v>19</v>
      </c>
      <c r="I79">
        <v>3815</v>
      </c>
      <c r="J79" t="s">
        <v>11</v>
      </c>
      <c r="K79">
        <v>1</v>
      </c>
      <c r="L79">
        <v>5</v>
      </c>
    </row>
    <row r="80" spans="1:12" hidden="1">
      <c r="A80">
        <v>79</v>
      </c>
      <c r="B80">
        <v>40</v>
      </c>
      <c r="C80" t="s">
        <v>14</v>
      </c>
      <c r="D80" t="s">
        <v>15</v>
      </c>
      <c r="E80">
        <v>2</v>
      </c>
      <c r="F80" t="s">
        <v>18</v>
      </c>
      <c r="G80">
        <v>4</v>
      </c>
      <c r="H80" t="s">
        <v>17</v>
      </c>
      <c r="I80">
        <v>2741</v>
      </c>
      <c r="J80" t="s">
        <v>11</v>
      </c>
      <c r="K80">
        <v>1</v>
      </c>
      <c r="L80">
        <v>15</v>
      </c>
    </row>
    <row r="81" spans="1:12">
      <c r="A81">
        <v>80</v>
      </c>
      <c r="B81">
        <v>22</v>
      </c>
      <c r="C81" t="s">
        <v>14</v>
      </c>
      <c r="D81" t="s">
        <v>15</v>
      </c>
      <c r="E81">
        <v>1</v>
      </c>
      <c r="F81" t="s">
        <v>16</v>
      </c>
      <c r="G81">
        <v>2</v>
      </c>
      <c r="H81" t="s">
        <v>19</v>
      </c>
      <c r="I81">
        <v>2328</v>
      </c>
      <c r="J81" t="s">
        <v>11</v>
      </c>
      <c r="K81">
        <v>1</v>
      </c>
      <c r="L81">
        <v>4</v>
      </c>
    </row>
    <row r="82" spans="1:12" hidden="1">
      <c r="A82">
        <v>81</v>
      </c>
      <c r="B82">
        <v>51</v>
      </c>
      <c r="C82" t="s">
        <v>14</v>
      </c>
      <c r="D82" t="s">
        <v>15</v>
      </c>
      <c r="E82">
        <v>3</v>
      </c>
      <c r="F82" t="s">
        <v>20</v>
      </c>
      <c r="G82">
        <v>2</v>
      </c>
      <c r="H82" t="s">
        <v>17</v>
      </c>
      <c r="I82">
        <v>12490</v>
      </c>
      <c r="J82" t="s">
        <v>14</v>
      </c>
      <c r="K82">
        <v>2</v>
      </c>
      <c r="L82">
        <v>16</v>
      </c>
    </row>
    <row r="83" spans="1:12">
      <c r="A83">
        <v>82</v>
      </c>
      <c r="B83">
        <v>30</v>
      </c>
      <c r="C83" t="s">
        <v>11</v>
      </c>
      <c r="D83" t="s">
        <v>12</v>
      </c>
      <c r="E83">
        <v>1</v>
      </c>
      <c r="F83" t="s">
        <v>16</v>
      </c>
      <c r="G83">
        <v>1</v>
      </c>
      <c r="H83" t="s">
        <v>13</v>
      </c>
      <c r="I83">
        <v>2657</v>
      </c>
      <c r="J83" t="s">
        <v>11</v>
      </c>
      <c r="K83">
        <v>0</v>
      </c>
      <c r="L83">
        <v>8</v>
      </c>
    </row>
    <row r="84" spans="1:12" hidden="1">
      <c r="A84">
        <v>83</v>
      </c>
      <c r="B84">
        <v>37</v>
      </c>
      <c r="C84" t="s">
        <v>14</v>
      </c>
      <c r="D84" t="s">
        <v>15</v>
      </c>
      <c r="E84">
        <v>3</v>
      </c>
      <c r="F84" t="s">
        <v>20</v>
      </c>
      <c r="G84">
        <v>4</v>
      </c>
      <c r="H84" t="s">
        <v>19</v>
      </c>
      <c r="I84">
        <v>12185</v>
      </c>
      <c r="J84" t="s">
        <v>11</v>
      </c>
      <c r="K84">
        <v>3</v>
      </c>
      <c r="L84">
        <v>10</v>
      </c>
    </row>
    <row r="85" spans="1:12">
      <c r="A85">
        <v>84</v>
      </c>
      <c r="B85">
        <v>29</v>
      </c>
      <c r="C85" t="s">
        <v>11</v>
      </c>
      <c r="D85" t="s">
        <v>15</v>
      </c>
      <c r="E85">
        <v>1</v>
      </c>
      <c r="F85" t="s">
        <v>16</v>
      </c>
      <c r="G85">
        <v>4</v>
      </c>
      <c r="H85" t="s">
        <v>13</v>
      </c>
      <c r="I85">
        <v>2389</v>
      </c>
      <c r="J85" t="s">
        <v>11</v>
      </c>
      <c r="K85">
        <v>0</v>
      </c>
      <c r="L85">
        <v>4</v>
      </c>
    </row>
    <row r="86" spans="1:12" hidden="1">
      <c r="A86">
        <v>85</v>
      </c>
      <c r="B86">
        <v>33</v>
      </c>
      <c r="C86" t="s">
        <v>11</v>
      </c>
      <c r="D86" t="s">
        <v>15</v>
      </c>
      <c r="E86">
        <v>1</v>
      </c>
      <c r="F86" t="s">
        <v>18</v>
      </c>
      <c r="G86">
        <v>4</v>
      </c>
      <c r="H86" t="s">
        <v>17</v>
      </c>
      <c r="I86">
        <v>2436</v>
      </c>
      <c r="J86" t="s">
        <v>11</v>
      </c>
      <c r="K86">
        <v>1</v>
      </c>
      <c r="L86">
        <v>8</v>
      </c>
    </row>
    <row r="87" spans="1:12" hidden="1">
      <c r="A87">
        <v>86</v>
      </c>
      <c r="B87">
        <v>32</v>
      </c>
      <c r="C87" t="s">
        <v>11</v>
      </c>
      <c r="D87" t="s">
        <v>15</v>
      </c>
      <c r="E87">
        <v>1</v>
      </c>
      <c r="F87" t="s">
        <v>18</v>
      </c>
      <c r="G87">
        <v>3</v>
      </c>
      <c r="H87" t="s">
        <v>13</v>
      </c>
      <c r="I87">
        <v>3730</v>
      </c>
      <c r="J87" t="s">
        <v>11</v>
      </c>
      <c r="K87">
        <v>0</v>
      </c>
      <c r="L87">
        <v>4</v>
      </c>
    </row>
    <row r="88" spans="1:12" hidden="1">
      <c r="A88">
        <v>87</v>
      </c>
      <c r="B88">
        <v>31</v>
      </c>
      <c r="C88" t="s">
        <v>14</v>
      </c>
      <c r="D88" t="s">
        <v>15</v>
      </c>
      <c r="E88">
        <v>3</v>
      </c>
      <c r="F88" t="s">
        <v>20</v>
      </c>
      <c r="G88">
        <v>3</v>
      </c>
      <c r="H88" t="s">
        <v>19</v>
      </c>
      <c r="I88">
        <v>13675</v>
      </c>
      <c r="J88" t="s">
        <v>14</v>
      </c>
      <c r="K88">
        <v>1</v>
      </c>
      <c r="L88">
        <v>9</v>
      </c>
    </row>
    <row r="89" spans="1:12" hidden="1">
      <c r="A89">
        <v>88</v>
      </c>
      <c r="B89">
        <v>42</v>
      </c>
      <c r="C89" t="s">
        <v>14</v>
      </c>
      <c r="D89" t="s">
        <v>12</v>
      </c>
      <c r="E89">
        <v>1</v>
      </c>
      <c r="F89" t="s">
        <v>18</v>
      </c>
      <c r="G89">
        <v>1</v>
      </c>
      <c r="H89" t="s">
        <v>19</v>
      </c>
      <c r="I89">
        <v>2593</v>
      </c>
      <c r="J89" t="s">
        <v>11</v>
      </c>
      <c r="K89">
        <v>1</v>
      </c>
      <c r="L89">
        <v>10</v>
      </c>
    </row>
    <row r="90" spans="1:12" hidden="1">
      <c r="A90">
        <v>89</v>
      </c>
      <c r="B90">
        <v>40</v>
      </c>
      <c r="C90" t="s">
        <v>14</v>
      </c>
      <c r="D90" t="s">
        <v>15</v>
      </c>
      <c r="E90">
        <v>5</v>
      </c>
      <c r="F90" t="s">
        <v>20</v>
      </c>
      <c r="G90">
        <v>3</v>
      </c>
      <c r="H90" t="s">
        <v>19</v>
      </c>
      <c r="I90">
        <v>19436</v>
      </c>
      <c r="J90" t="s">
        <v>14</v>
      </c>
      <c r="K90">
        <v>1</v>
      </c>
      <c r="L90">
        <v>22</v>
      </c>
    </row>
    <row r="91" spans="1:12" hidden="1">
      <c r="A91">
        <v>90</v>
      </c>
      <c r="B91">
        <v>37</v>
      </c>
      <c r="C91" t="s">
        <v>14</v>
      </c>
      <c r="D91" t="s">
        <v>12</v>
      </c>
      <c r="E91">
        <v>3</v>
      </c>
      <c r="F91" t="s">
        <v>20</v>
      </c>
      <c r="G91">
        <v>4</v>
      </c>
      <c r="H91" t="s">
        <v>19</v>
      </c>
      <c r="I91">
        <v>13603</v>
      </c>
      <c r="J91" t="s">
        <v>11</v>
      </c>
      <c r="K91">
        <v>2</v>
      </c>
      <c r="L91">
        <v>15</v>
      </c>
    </row>
    <row r="92" spans="1:12" hidden="1">
      <c r="A92">
        <v>91</v>
      </c>
      <c r="B92">
        <v>50</v>
      </c>
      <c r="C92" t="s">
        <v>14</v>
      </c>
      <c r="D92" t="s">
        <v>15</v>
      </c>
      <c r="E92">
        <v>5</v>
      </c>
      <c r="F92" t="s">
        <v>20</v>
      </c>
      <c r="G92">
        <v>2</v>
      </c>
      <c r="H92" t="s">
        <v>19</v>
      </c>
      <c r="I92">
        <v>19144</v>
      </c>
      <c r="J92" t="s">
        <v>14</v>
      </c>
      <c r="K92">
        <v>2</v>
      </c>
      <c r="L92">
        <v>28</v>
      </c>
    </row>
    <row r="93" spans="1:12" hidden="1">
      <c r="A93">
        <v>92</v>
      </c>
      <c r="B93">
        <v>53</v>
      </c>
      <c r="C93" t="s">
        <v>14</v>
      </c>
      <c r="D93" t="s">
        <v>15</v>
      </c>
      <c r="E93">
        <v>4</v>
      </c>
      <c r="F93" t="s">
        <v>20</v>
      </c>
      <c r="G93">
        <v>3</v>
      </c>
      <c r="H93" t="s">
        <v>17</v>
      </c>
      <c r="I93">
        <v>17584</v>
      </c>
      <c r="J93" t="s">
        <v>11</v>
      </c>
      <c r="K93">
        <v>3</v>
      </c>
      <c r="L93">
        <v>21</v>
      </c>
    </row>
    <row r="94" spans="1:12" hidden="1">
      <c r="A94">
        <v>93</v>
      </c>
      <c r="B94">
        <v>55</v>
      </c>
      <c r="C94" t="s">
        <v>14</v>
      </c>
      <c r="D94" t="s">
        <v>15</v>
      </c>
      <c r="E94">
        <v>2</v>
      </c>
      <c r="F94" t="s">
        <v>18</v>
      </c>
      <c r="G94">
        <v>4</v>
      </c>
      <c r="H94" t="s">
        <v>17</v>
      </c>
      <c r="I94">
        <v>5415</v>
      </c>
      <c r="J94" t="s">
        <v>11</v>
      </c>
      <c r="K94">
        <v>1</v>
      </c>
      <c r="L94">
        <v>12</v>
      </c>
    </row>
    <row r="95" spans="1:12" hidden="1">
      <c r="A95">
        <v>94</v>
      </c>
      <c r="B95">
        <v>44</v>
      </c>
      <c r="C95" t="s">
        <v>11</v>
      </c>
      <c r="D95" t="s">
        <v>15</v>
      </c>
      <c r="E95">
        <v>1</v>
      </c>
      <c r="F95" t="s">
        <v>18</v>
      </c>
      <c r="G95">
        <v>3</v>
      </c>
      <c r="H95" t="s">
        <v>19</v>
      </c>
      <c r="I95">
        <v>3161</v>
      </c>
      <c r="J95" t="s">
        <v>11</v>
      </c>
      <c r="K95">
        <v>1</v>
      </c>
      <c r="L95">
        <v>19</v>
      </c>
    </row>
    <row r="96" spans="1:12" hidden="1">
      <c r="A96">
        <v>95</v>
      </c>
      <c r="B96">
        <v>26</v>
      </c>
      <c r="C96" t="s">
        <v>11</v>
      </c>
      <c r="D96" t="s">
        <v>15</v>
      </c>
      <c r="E96">
        <v>1</v>
      </c>
      <c r="F96" t="s">
        <v>18</v>
      </c>
      <c r="G96">
        <v>2</v>
      </c>
      <c r="H96" t="s">
        <v>19</v>
      </c>
      <c r="I96">
        <v>2373</v>
      </c>
      <c r="J96" t="s">
        <v>11</v>
      </c>
      <c r="K96">
        <v>1</v>
      </c>
      <c r="L96">
        <v>5</v>
      </c>
    </row>
    <row r="97" spans="1:12" hidden="1">
      <c r="A97">
        <v>96</v>
      </c>
      <c r="B97">
        <v>49</v>
      </c>
      <c r="C97" t="s">
        <v>14</v>
      </c>
      <c r="D97" t="s">
        <v>12</v>
      </c>
      <c r="E97">
        <v>5</v>
      </c>
      <c r="F97" t="s">
        <v>20</v>
      </c>
      <c r="G97">
        <v>1</v>
      </c>
      <c r="H97" t="s">
        <v>13</v>
      </c>
      <c r="I97">
        <v>18665</v>
      </c>
      <c r="J97" t="s">
        <v>11</v>
      </c>
      <c r="K97">
        <v>0</v>
      </c>
      <c r="L97">
        <v>22</v>
      </c>
    </row>
    <row r="98" spans="1:12" hidden="1">
      <c r="A98">
        <v>97</v>
      </c>
      <c r="B98">
        <v>38</v>
      </c>
      <c r="C98" t="s">
        <v>14</v>
      </c>
      <c r="D98" t="s">
        <v>12</v>
      </c>
      <c r="E98">
        <v>3</v>
      </c>
      <c r="F98" t="s">
        <v>20</v>
      </c>
      <c r="G98">
        <v>2</v>
      </c>
      <c r="H98" t="s">
        <v>17</v>
      </c>
      <c r="I98">
        <v>12061</v>
      </c>
      <c r="J98" t="s">
        <v>14</v>
      </c>
      <c r="K98">
        <v>1</v>
      </c>
      <c r="L98">
        <v>19</v>
      </c>
    </row>
    <row r="99" spans="1:12" hidden="1">
      <c r="A99">
        <v>98</v>
      </c>
      <c r="B99">
        <v>47</v>
      </c>
      <c r="C99" t="s">
        <v>14</v>
      </c>
      <c r="D99" t="s">
        <v>15</v>
      </c>
      <c r="E99">
        <v>5</v>
      </c>
      <c r="F99" t="s">
        <v>20</v>
      </c>
      <c r="G99">
        <v>3</v>
      </c>
      <c r="H99" t="s">
        <v>17</v>
      </c>
      <c r="I99">
        <v>18300</v>
      </c>
      <c r="J99" t="s">
        <v>14</v>
      </c>
      <c r="K99">
        <v>1</v>
      </c>
      <c r="L99">
        <v>21</v>
      </c>
    </row>
    <row r="100" spans="1:12" hidden="1">
      <c r="A100">
        <v>99</v>
      </c>
      <c r="B100">
        <v>29</v>
      </c>
      <c r="C100" t="s">
        <v>11</v>
      </c>
      <c r="D100" t="s">
        <v>15</v>
      </c>
      <c r="E100">
        <v>1</v>
      </c>
      <c r="F100" t="s">
        <v>18</v>
      </c>
      <c r="G100">
        <v>1</v>
      </c>
      <c r="H100" t="s">
        <v>17</v>
      </c>
      <c r="I100">
        <v>2119</v>
      </c>
      <c r="J100" t="s">
        <v>11</v>
      </c>
      <c r="K100">
        <v>0</v>
      </c>
      <c r="L100">
        <v>7</v>
      </c>
    </row>
    <row r="101" spans="1:12" hidden="1">
      <c r="A101">
        <v>100</v>
      </c>
      <c r="B101">
        <v>38</v>
      </c>
      <c r="C101" t="s">
        <v>14</v>
      </c>
      <c r="D101" t="s">
        <v>15</v>
      </c>
      <c r="E101">
        <v>3</v>
      </c>
      <c r="F101" t="s">
        <v>20</v>
      </c>
      <c r="G101">
        <v>4</v>
      </c>
      <c r="H101" t="s">
        <v>19</v>
      </c>
      <c r="I101">
        <v>11510</v>
      </c>
      <c r="J101" t="s">
        <v>11</v>
      </c>
      <c r="K101">
        <v>1</v>
      </c>
      <c r="L101">
        <v>12</v>
      </c>
    </row>
    <row r="102" spans="1:12" hidden="1">
      <c r="A102">
        <v>101</v>
      </c>
      <c r="B102">
        <v>42</v>
      </c>
      <c r="C102" t="s">
        <v>14</v>
      </c>
      <c r="D102" t="s">
        <v>12</v>
      </c>
      <c r="E102">
        <v>4</v>
      </c>
      <c r="F102" t="s">
        <v>20</v>
      </c>
      <c r="G102">
        <v>4</v>
      </c>
      <c r="H102" t="s">
        <v>13</v>
      </c>
      <c r="I102">
        <v>15992</v>
      </c>
      <c r="J102" t="s">
        <v>14</v>
      </c>
      <c r="K102">
        <v>0</v>
      </c>
      <c r="L102">
        <v>16</v>
      </c>
    </row>
    <row r="103" spans="1:12" hidden="1">
      <c r="A103">
        <v>102</v>
      </c>
      <c r="B103">
        <v>40</v>
      </c>
      <c r="C103" t="s">
        <v>14</v>
      </c>
      <c r="D103" t="s">
        <v>12</v>
      </c>
      <c r="E103">
        <v>1</v>
      </c>
      <c r="F103" t="s">
        <v>18</v>
      </c>
      <c r="G103">
        <v>3</v>
      </c>
      <c r="H103" t="s">
        <v>17</v>
      </c>
      <c r="I103">
        <v>2213</v>
      </c>
      <c r="J103" t="s">
        <v>11</v>
      </c>
      <c r="K103">
        <v>1</v>
      </c>
      <c r="L103">
        <v>10</v>
      </c>
    </row>
    <row r="104" spans="1:12" hidden="1">
      <c r="A104">
        <v>103</v>
      </c>
      <c r="B104">
        <v>43</v>
      </c>
      <c r="C104" t="s">
        <v>14</v>
      </c>
      <c r="D104" t="s">
        <v>15</v>
      </c>
      <c r="E104">
        <v>4</v>
      </c>
      <c r="F104" t="s">
        <v>20</v>
      </c>
      <c r="G104">
        <v>2</v>
      </c>
      <c r="H104" t="s">
        <v>19</v>
      </c>
      <c r="I104">
        <v>14336</v>
      </c>
      <c r="J104" t="s">
        <v>14</v>
      </c>
      <c r="K104">
        <v>1</v>
      </c>
      <c r="L104">
        <v>25</v>
      </c>
    </row>
    <row r="105" spans="1:12" hidden="1">
      <c r="A105">
        <v>104</v>
      </c>
      <c r="B105">
        <v>54</v>
      </c>
      <c r="C105" t="s">
        <v>14</v>
      </c>
      <c r="D105" t="s">
        <v>15</v>
      </c>
      <c r="E105">
        <v>5</v>
      </c>
      <c r="F105" t="s">
        <v>20</v>
      </c>
      <c r="G105">
        <v>1</v>
      </c>
      <c r="H105" t="s">
        <v>17</v>
      </c>
      <c r="I105">
        <v>19406</v>
      </c>
      <c r="J105" t="s">
        <v>14</v>
      </c>
      <c r="K105">
        <v>1</v>
      </c>
      <c r="L105">
        <v>24</v>
      </c>
    </row>
    <row r="106" spans="1:12" hidden="1">
      <c r="A106">
        <v>105</v>
      </c>
      <c r="B106">
        <v>29</v>
      </c>
      <c r="C106" t="s">
        <v>14</v>
      </c>
      <c r="D106" t="s">
        <v>15</v>
      </c>
      <c r="E106">
        <v>3</v>
      </c>
      <c r="F106" t="s">
        <v>20</v>
      </c>
      <c r="G106">
        <v>3</v>
      </c>
      <c r="H106" t="s">
        <v>17</v>
      </c>
      <c r="I106">
        <v>11935</v>
      </c>
      <c r="J106" t="s">
        <v>14</v>
      </c>
      <c r="K106">
        <v>0</v>
      </c>
      <c r="L106">
        <v>10</v>
      </c>
    </row>
    <row r="107" spans="1:12" hidden="1">
      <c r="A107">
        <v>106</v>
      </c>
      <c r="B107">
        <v>46</v>
      </c>
      <c r="C107" t="s">
        <v>14</v>
      </c>
      <c r="D107" t="s">
        <v>15</v>
      </c>
      <c r="E107">
        <v>4</v>
      </c>
      <c r="F107" t="s">
        <v>20</v>
      </c>
      <c r="G107">
        <v>3</v>
      </c>
      <c r="H107" t="s">
        <v>17</v>
      </c>
      <c r="I107">
        <v>17861</v>
      </c>
      <c r="J107" t="s">
        <v>14</v>
      </c>
      <c r="K107">
        <v>0</v>
      </c>
      <c r="L107">
        <v>26</v>
      </c>
    </row>
    <row r="108" spans="1:12" hidden="1">
      <c r="A108">
        <v>107</v>
      </c>
      <c r="B108">
        <v>33</v>
      </c>
      <c r="C108" t="s">
        <v>14</v>
      </c>
      <c r="D108" t="s">
        <v>12</v>
      </c>
      <c r="E108">
        <v>4</v>
      </c>
      <c r="F108" t="s">
        <v>20</v>
      </c>
      <c r="G108">
        <v>3</v>
      </c>
      <c r="H108" t="s">
        <v>19</v>
      </c>
      <c r="I108">
        <v>16184</v>
      </c>
      <c r="J108" t="s">
        <v>14</v>
      </c>
      <c r="K108">
        <v>1</v>
      </c>
      <c r="L108">
        <v>10</v>
      </c>
    </row>
    <row r="109" spans="1:12" hidden="1">
      <c r="A109">
        <v>108</v>
      </c>
      <c r="B109">
        <v>49</v>
      </c>
      <c r="C109" t="s">
        <v>14</v>
      </c>
      <c r="D109" t="s">
        <v>15</v>
      </c>
      <c r="E109">
        <v>5</v>
      </c>
      <c r="F109" t="s">
        <v>20</v>
      </c>
      <c r="G109">
        <v>3</v>
      </c>
      <c r="H109" t="s">
        <v>19</v>
      </c>
      <c r="I109">
        <v>19502</v>
      </c>
      <c r="J109" t="s">
        <v>11</v>
      </c>
      <c r="K109">
        <v>1</v>
      </c>
      <c r="L109">
        <v>31</v>
      </c>
    </row>
    <row r="110" spans="1:12" hidden="1">
      <c r="A110">
        <v>109</v>
      </c>
      <c r="B110">
        <v>43</v>
      </c>
      <c r="C110" t="s">
        <v>14</v>
      </c>
      <c r="D110" t="s">
        <v>15</v>
      </c>
      <c r="E110">
        <v>4</v>
      </c>
      <c r="F110" t="s">
        <v>20</v>
      </c>
      <c r="G110">
        <v>4</v>
      </c>
      <c r="H110" t="s">
        <v>19</v>
      </c>
      <c r="I110">
        <v>16627</v>
      </c>
      <c r="J110" t="s">
        <v>11</v>
      </c>
      <c r="K110">
        <v>1</v>
      </c>
      <c r="L110">
        <v>21</v>
      </c>
    </row>
    <row r="111" spans="1:12" hidden="1">
      <c r="A111">
        <v>110</v>
      </c>
      <c r="B111">
        <v>32</v>
      </c>
      <c r="C111" t="s">
        <v>14</v>
      </c>
      <c r="D111" t="s">
        <v>12</v>
      </c>
      <c r="E111">
        <v>3</v>
      </c>
      <c r="F111" t="s">
        <v>20</v>
      </c>
      <c r="G111">
        <v>4</v>
      </c>
      <c r="H111" t="s">
        <v>13</v>
      </c>
      <c r="I111">
        <v>11159</v>
      </c>
      <c r="J111" t="s">
        <v>14</v>
      </c>
      <c r="K111">
        <v>0</v>
      </c>
      <c r="L111">
        <v>10</v>
      </c>
    </row>
    <row r="112" spans="1:12" hidden="1">
      <c r="A112">
        <v>111</v>
      </c>
      <c r="B112">
        <v>53</v>
      </c>
      <c r="C112" t="s">
        <v>14</v>
      </c>
      <c r="D112" t="s">
        <v>15</v>
      </c>
      <c r="E112">
        <v>4</v>
      </c>
      <c r="F112" t="s">
        <v>20</v>
      </c>
      <c r="G112">
        <v>3</v>
      </c>
      <c r="H112" t="s">
        <v>17</v>
      </c>
      <c r="I112">
        <v>14814</v>
      </c>
      <c r="J112" t="s">
        <v>14</v>
      </c>
      <c r="K112">
        <v>0</v>
      </c>
      <c r="L112">
        <v>32</v>
      </c>
    </row>
    <row r="113" spans="1:12" hidden="1">
      <c r="A113">
        <v>112</v>
      </c>
      <c r="B113">
        <v>58</v>
      </c>
      <c r="C113" t="s">
        <v>11</v>
      </c>
      <c r="D113" t="s">
        <v>15</v>
      </c>
      <c r="E113">
        <v>5</v>
      </c>
      <c r="F113" t="s">
        <v>20</v>
      </c>
      <c r="G113">
        <v>2</v>
      </c>
      <c r="H113" t="s">
        <v>13</v>
      </c>
      <c r="I113">
        <v>19246</v>
      </c>
      <c r="J113" t="s">
        <v>11</v>
      </c>
      <c r="K113">
        <v>0</v>
      </c>
      <c r="L113">
        <v>40</v>
      </c>
    </row>
    <row r="114" spans="1:12" hidden="1">
      <c r="A114">
        <v>113</v>
      </c>
      <c r="B114">
        <v>27</v>
      </c>
      <c r="C114" t="s">
        <v>14</v>
      </c>
      <c r="D114" t="s">
        <v>15</v>
      </c>
      <c r="E114">
        <v>3</v>
      </c>
      <c r="F114" t="s">
        <v>20</v>
      </c>
      <c r="G114">
        <v>4</v>
      </c>
      <c r="H114" t="s">
        <v>19</v>
      </c>
      <c r="I114">
        <v>12808</v>
      </c>
      <c r="J114" t="s">
        <v>11</v>
      </c>
      <c r="K114">
        <v>1</v>
      </c>
      <c r="L114">
        <v>9</v>
      </c>
    </row>
    <row r="115" spans="1:12" hidden="1">
      <c r="A115">
        <v>114</v>
      </c>
      <c r="B115">
        <v>30</v>
      </c>
      <c r="C115" t="s">
        <v>14</v>
      </c>
      <c r="D115" t="s">
        <v>12</v>
      </c>
      <c r="E115">
        <v>3</v>
      </c>
      <c r="F115" t="s">
        <v>20</v>
      </c>
      <c r="G115">
        <v>1</v>
      </c>
      <c r="H115" t="s">
        <v>17</v>
      </c>
      <c r="I115">
        <v>11416</v>
      </c>
      <c r="J115" t="s">
        <v>11</v>
      </c>
      <c r="K115">
        <v>3</v>
      </c>
      <c r="L115">
        <v>9</v>
      </c>
    </row>
    <row r="116" spans="1:12" hidden="1">
      <c r="A116">
        <v>115</v>
      </c>
      <c r="B116">
        <v>50</v>
      </c>
      <c r="C116" t="s">
        <v>14</v>
      </c>
      <c r="D116" t="s">
        <v>15</v>
      </c>
      <c r="E116">
        <v>5</v>
      </c>
      <c r="F116" t="s">
        <v>20</v>
      </c>
      <c r="G116">
        <v>3</v>
      </c>
      <c r="H116" t="s">
        <v>17</v>
      </c>
      <c r="I116">
        <v>19237</v>
      </c>
      <c r="J116" t="s">
        <v>11</v>
      </c>
      <c r="K116">
        <v>1</v>
      </c>
      <c r="L116">
        <v>29</v>
      </c>
    </row>
    <row r="117" spans="1:12" hidden="1">
      <c r="A117">
        <v>116</v>
      </c>
      <c r="B117">
        <v>42</v>
      </c>
      <c r="C117" t="s">
        <v>14</v>
      </c>
      <c r="D117" t="s">
        <v>12</v>
      </c>
      <c r="E117">
        <v>3</v>
      </c>
      <c r="F117" t="s">
        <v>20</v>
      </c>
      <c r="G117">
        <v>1</v>
      </c>
      <c r="H117" t="s">
        <v>17</v>
      </c>
      <c r="I117">
        <v>13191</v>
      </c>
      <c r="J117" t="s">
        <v>11</v>
      </c>
      <c r="K117">
        <v>0</v>
      </c>
      <c r="L117">
        <v>20</v>
      </c>
    </row>
    <row r="118" spans="1:12" hidden="1">
      <c r="A118">
        <v>117</v>
      </c>
      <c r="B118">
        <v>50</v>
      </c>
      <c r="C118" t="s">
        <v>14</v>
      </c>
      <c r="D118" t="s">
        <v>12</v>
      </c>
      <c r="E118">
        <v>4</v>
      </c>
      <c r="F118" t="s">
        <v>20</v>
      </c>
      <c r="G118">
        <v>1</v>
      </c>
      <c r="H118" t="s">
        <v>17</v>
      </c>
      <c r="I118">
        <v>16880</v>
      </c>
      <c r="J118" t="s">
        <v>11</v>
      </c>
      <c r="K118">
        <v>0</v>
      </c>
      <c r="L118">
        <v>25</v>
      </c>
    </row>
    <row r="119" spans="1:12" hidden="1">
      <c r="A119">
        <v>118</v>
      </c>
      <c r="B119">
        <v>58</v>
      </c>
      <c r="C119" t="s">
        <v>14</v>
      </c>
      <c r="D119" t="s">
        <v>12</v>
      </c>
      <c r="E119">
        <v>5</v>
      </c>
      <c r="F119" t="s">
        <v>20</v>
      </c>
      <c r="G119">
        <v>1</v>
      </c>
      <c r="H119" t="s">
        <v>17</v>
      </c>
      <c r="I119">
        <v>19701</v>
      </c>
      <c r="J119" t="s">
        <v>11</v>
      </c>
      <c r="K119">
        <v>1</v>
      </c>
      <c r="L119">
        <v>32</v>
      </c>
    </row>
    <row r="120" spans="1:12" hidden="1">
      <c r="A120">
        <v>119</v>
      </c>
      <c r="B120">
        <v>50</v>
      </c>
      <c r="C120" t="s">
        <v>14</v>
      </c>
      <c r="D120" t="s">
        <v>15</v>
      </c>
      <c r="E120">
        <v>4</v>
      </c>
      <c r="F120" t="s">
        <v>20</v>
      </c>
      <c r="G120">
        <v>4</v>
      </c>
      <c r="H120" t="s">
        <v>13</v>
      </c>
      <c r="I120">
        <v>14411</v>
      </c>
      <c r="J120" t="s">
        <v>11</v>
      </c>
      <c r="K120">
        <v>0</v>
      </c>
      <c r="L120">
        <v>32</v>
      </c>
    </row>
    <row r="121" spans="1:12" hidden="1">
      <c r="A121">
        <v>120</v>
      </c>
      <c r="B121">
        <v>44</v>
      </c>
      <c r="C121" t="s">
        <v>14</v>
      </c>
      <c r="D121" t="s">
        <v>12</v>
      </c>
      <c r="E121">
        <v>5</v>
      </c>
      <c r="F121" t="s">
        <v>20</v>
      </c>
      <c r="G121">
        <v>4</v>
      </c>
      <c r="H121" t="s">
        <v>19</v>
      </c>
      <c r="I121">
        <v>19049</v>
      </c>
      <c r="J121" t="s">
        <v>11</v>
      </c>
      <c r="K121">
        <v>1</v>
      </c>
      <c r="L121">
        <v>23</v>
      </c>
    </row>
  </sheetData>
  <autoFilter ref="A1:L121" xr:uid="{A9A49BC6-6318-4D83-AD9B-1357C091D9D7}">
    <filterColumn colId="5">
      <filters>
        <filter val="Research Scientist"/>
      </filters>
    </filterColumn>
    <filterColumn colId="9">
      <filters>
        <filter val="Yes"/>
      </filters>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8B8D-22FF-4911-BB5D-85036532EB48}">
  <dimension ref="A1:C31"/>
  <sheetViews>
    <sheetView workbookViewId="0">
      <selection sqref="A1:C31"/>
    </sheetView>
  </sheetViews>
  <sheetFormatPr baseColWidth="10" defaultColWidth="8.83203125" defaultRowHeight="15"/>
  <cols>
    <col min="1" max="1" width="21.5" style="1" customWidth="1"/>
    <col min="2" max="2" width="20.6640625" style="1" customWidth="1"/>
    <col min="3" max="3" width="21.1640625" style="1" customWidth="1"/>
  </cols>
  <sheetData>
    <row r="1" spans="1:3">
      <c r="A1" s="1" t="s">
        <v>24</v>
      </c>
      <c r="B1" s="1" t="s">
        <v>22</v>
      </c>
      <c r="C1" s="1" t="s">
        <v>23</v>
      </c>
    </row>
    <row r="2" spans="1:3">
      <c r="A2" s="1">
        <v>1</v>
      </c>
      <c r="B2" s="1">
        <v>2</v>
      </c>
      <c r="C2" s="1">
        <v>2</v>
      </c>
    </row>
    <row r="3" spans="1:3">
      <c r="A3" s="1">
        <v>2</v>
      </c>
      <c r="B3" s="1">
        <v>2</v>
      </c>
      <c r="C3" s="1">
        <v>2</v>
      </c>
    </row>
    <row r="4" spans="1:3">
      <c r="A4" s="1">
        <v>3</v>
      </c>
      <c r="B4" s="1">
        <v>4</v>
      </c>
      <c r="C4" s="1">
        <v>4</v>
      </c>
    </row>
    <row r="5" spans="1:3">
      <c r="A5" s="1">
        <v>4</v>
      </c>
      <c r="B5" s="1">
        <v>2</v>
      </c>
      <c r="C5" s="1">
        <v>2</v>
      </c>
    </row>
    <row r="6" spans="1:3">
      <c r="A6" s="1">
        <v>5</v>
      </c>
      <c r="B6" s="1">
        <v>2</v>
      </c>
      <c r="C6" s="1">
        <v>2</v>
      </c>
    </row>
    <row r="7" spans="1:3">
      <c r="A7" s="1">
        <v>6</v>
      </c>
      <c r="B7" s="1">
        <v>3</v>
      </c>
      <c r="C7" s="1">
        <v>4</v>
      </c>
    </row>
    <row r="8" spans="1:3">
      <c r="A8" s="1">
        <v>7</v>
      </c>
      <c r="B8" s="1">
        <v>2</v>
      </c>
      <c r="C8" s="1">
        <v>2</v>
      </c>
    </row>
    <row r="9" spans="1:3">
      <c r="A9" s="1">
        <v>8</v>
      </c>
      <c r="B9" s="1">
        <v>4</v>
      </c>
      <c r="C9" s="1">
        <v>4</v>
      </c>
    </row>
    <row r="10" spans="1:3">
      <c r="A10" s="1">
        <v>9</v>
      </c>
      <c r="B10" s="1">
        <v>1</v>
      </c>
      <c r="C10" s="1">
        <v>1</v>
      </c>
    </row>
    <row r="11" spans="1:3">
      <c r="A11" s="1">
        <v>10</v>
      </c>
      <c r="B11" s="1">
        <v>4</v>
      </c>
      <c r="C11" s="1">
        <v>4</v>
      </c>
    </row>
    <row r="12" spans="1:3">
      <c r="A12" s="1">
        <v>11</v>
      </c>
      <c r="B12" s="1">
        <v>3</v>
      </c>
      <c r="C12" s="1">
        <v>3</v>
      </c>
    </row>
    <row r="13" spans="1:3">
      <c r="A13" s="1">
        <v>12</v>
      </c>
      <c r="B13" s="1">
        <v>2</v>
      </c>
      <c r="C13" s="1">
        <v>2</v>
      </c>
    </row>
    <row r="14" spans="1:3">
      <c r="A14" s="1">
        <v>13</v>
      </c>
      <c r="B14" s="1">
        <v>1</v>
      </c>
      <c r="C14" s="1">
        <v>1</v>
      </c>
    </row>
    <row r="15" spans="1:3">
      <c r="A15" s="1">
        <v>14</v>
      </c>
      <c r="B15" s="1">
        <v>4</v>
      </c>
      <c r="C15" s="1">
        <v>4</v>
      </c>
    </row>
    <row r="16" spans="1:3">
      <c r="A16" s="1">
        <v>15</v>
      </c>
      <c r="B16" s="1">
        <v>3</v>
      </c>
      <c r="C16" s="1">
        <v>3</v>
      </c>
    </row>
    <row r="17" spans="1:3">
      <c r="A17" s="1">
        <v>16</v>
      </c>
      <c r="B17" s="1">
        <v>3</v>
      </c>
      <c r="C17" s="1">
        <v>3</v>
      </c>
    </row>
    <row r="18" spans="1:3">
      <c r="A18" s="1">
        <v>17</v>
      </c>
      <c r="B18" s="1">
        <v>3</v>
      </c>
      <c r="C18" s="1">
        <v>3</v>
      </c>
    </row>
    <row r="19" spans="1:3">
      <c r="A19" s="1">
        <v>18</v>
      </c>
      <c r="B19" s="1">
        <v>1</v>
      </c>
      <c r="C19" s="1">
        <v>1</v>
      </c>
    </row>
    <row r="20" spans="1:3">
      <c r="A20" s="1">
        <v>19</v>
      </c>
      <c r="B20" s="1">
        <v>2</v>
      </c>
      <c r="C20" s="1">
        <v>3</v>
      </c>
    </row>
    <row r="21" spans="1:3">
      <c r="A21" s="1">
        <v>20</v>
      </c>
      <c r="B21" s="1">
        <v>2</v>
      </c>
      <c r="C21" s="1">
        <v>2</v>
      </c>
    </row>
    <row r="22" spans="1:3">
      <c r="A22" s="1">
        <v>21</v>
      </c>
      <c r="B22" s="1">
        <v>4</v>
      </c>
      <c r="C22" s="1">
        <v>4</v>
      </c>
    </row>
    <row r="23" spans="1:3">
      <c r="A23" s="1">
        <v>22</v>
      </c>
      <c r="B23" s="1">
        <v>3</v>
      </c>
      <c r="C23" s="1">
        <v>3</v>
      </c>
    </row>
    <row r="24" spans="1:3">
      <c r="A24" s="1">
        <v>23</v>
      </c>
      <c r="B24" s="1">
        <v>2</v>
      </c>
      <c r="C24" s="1">
        <v>3</v>
      </c>
    </row>
    <row r="25" spans="1:3">
      <c r="A25" s="1">
        <v>24</v>
      </c>
      <c r="B25" s="1">
        <v>1</v>
      </c>
      <c r="C25" s="1">
        <v>2</v>
      </c>
    </row>
    <row r="26" spans="1:3">
      <c r="A26" s="1">
        <v>25</v>
      </c>
      <c r="B26" s="1">
        <v>2</v>
      </c>
      <c r="C26" s="1">
        <v>2</v>
      </c>
    </row>
    <row r="27" spans="1:3">
      <c r="A27" s="1">
        <v>26</v>
      </c>
      <c r="B27" s="1">
        <v>2</v>
      </c>
      <c r="C27" s="1">
        <v>2</v>
      </c>
    </row>
    <row r="28" spans="1:3">
      <c r="A28" s="1">
        <v>27</v>
      </c>
      <c r="B28" s="1">
        <v>3</v>
      </c>
      <c r="C28" s="1">
        <v>4</v>
      </c>
    </row>
    <row r="29" spans="1:3">
      <c r="A29" s="1">
        <v>28</v>
      </c>
      <c r="B29" s="1">
        <v>3</v>
      </c>
      <c r="C29" s="1">
        <v>3</v>
      </c>
    </row>
    <row r="30" spans="1:3">
      <c r="A30" s="1">
        <v>29</v>
      </c>
      <c r="B30" s="1">
        <v>4</v>
      </c>
      <c r="C30" s="1">
        <v>4</v>
      </c>
    </row>
    <row r="31" spans="1:3">
      <c r="A31" s="1">
        <v>30</v>
      </c>
      <c r="B31" s="1">
        <v>3</v>
      </c>
      <c r="C31" s="1">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BCEBA-185D-4891-BA62-27F8BAF18B8F}">
  <dimension ref="A1:F67"/>
  <sheetViews>
    <sheetView workbookViewId="0">
      <selection activeCell="B1" sqref="B1:D67"/>
    </sheetView>
  </sheetViews>
  <sheetFormatPr baseColWidth="10" defaultColWidth="8.83203125" defaultRowHeight="15"/>
  <cols>
    <col min="1" max="1" width="9" style="1"/>
    <col min="2" max="2" width="13.83203125" style="1" customWidth="1"/>
    <col min="3" max="3" width="9" style="1"/>
    <col min="4" max="4" width="20.5" style="1" customWidth="1"/>
    <col min="5" max="5" width="9" style="1"/>
    <col min="6" max="6" width="16.5" style="1" bestFit="1" customWidth="1"/>
  </cols>
  <sheetData>
    <row r="1" spans="1:6">
      <c r="A1" s="1" t="s">
        <v>24</v>
      </c>
      <c r="B1" s="65" t="s">
        <v>25</v>
      </c>
      <c r="C1" s="65" t="s">
        <v>3</v>
      </c>
      <c r="D1" s="65" t="s">
        <v>26</v>
      </c>
      <c r="E1" s="1" t="s">
        <v>27</v>
      </c>
      <c r="F1" s="1" t="s">
        <v>28</v>
      </c>
    </row>
    <row r="2" spans="1:6">
      <c r="A2" s="1">
        <v>1</v>
      </c>
      <c r="B2" s="1" t="s">
        <v>29</v>
      </c>
      <c r="C2" s="1">
        <v>1</v>
      </c>
      <c r="D2" s="1" t="s">
        <v>11</v>
      </c>
      <c r="E2" s="1">
        <v>3</v>
      </c>
      <c r="F2" s="1">
        <v>4</v>
      </c>
    </row>
    <row r="3" spans="1:6">
      <c r="A3" s="1">
        <v>2</v>
      </c>
      <c r="B3" s="1" t="s">
        <v>30</v>
      </c>
      <c r="C3" s="1">
        <v>1</v>
      </c>
      <c r="D3" s="1" t="s">
        <v>11</v>
      </c>
      <c r="E3" s="1">
        <v>4</v>
      </c>
      <c r="F3" s="1">
        <v>4</v>
      </c>
    </row>
    <row r="4" spans="1:6">
      <c r="A4" s="1">
        <v>3</v>
      </c>
      <c r="B4" s="1" t="s">
        <v>30</v>
      </c>
      <c r="C4" s="1">
        <v>1</v>
      </c>
      <c r="D4" s="1" t="s">
        <v>11</v>
      </c>
      <c r="E4" s="1">
        <v>3</v>
      </c>
      <c r="F4" s="1">
        <v>4</v>
      </c>
    </row>
    <row r="5" spans="1:6">
      <c r="A5" s="1">
        <v>4</v>
      </c>
      <c r="B5" s="1" t="s">
        <v>30</v>
      </c>
      <c r="C5" s="1">
        <v>1</v>
      </c>
      <c r="D5" s="1" t="s">
        <v>11</v>
      </c>
      <c r="E5" s="1">
        <v>1</v>
      </c>
      <c r="F5" s="1">
        <v>3</v>
      </c>
    </row>
    <row r="6" spans="1:6">
      <c r="A6" s="1">
        <v>5</v>
      </c>
      <c r="B6" s="1" t="s">
        <v>29</v>
      </c>
      <c r="C6" s="1">
        <v>1</v>
      </c>
      <c r="D6" s="1" t="s">
        <v>14</v>
      </c>
      <c r="E6" s="1">
        <v>4</v>
      </c>
      <c r="F6" s="1">
        <v>4</v>
      </c>
    </row>
    <row r="7" spans="1:6">
      <c r="A7" s="1">
        <v>6</v>
      </c>
      <c r="B7" s="1" t="s">
        <v>29</v>
      </c>
      <c r="C7" s="1">
        <v>1</v>
      </c>
      <c r="D7" s="1" t="s">
        <v>14</v>
      </c>
      <c r="E7" s="1">
        <v>1</v>
      </c>
      <c r="F7" s="1">
        <v>1</v>
      </c>
    </row>
    <row r="8" spans="1:6">
      <c r="A8" s="1">
        <v>7</v>
      </c>
      <c r="B8" s="1" t="s">
        <v>29</v>
      </c>
      <c r="C8" s="1">
        <v>1</v>
      </c>
      <c r="D8" s="1" t="s">
        <v>11</v>
      </c>
      <c r="E8" s="1">
        <v>4</v>
      </c>
      <c r="F8" s="1">
        <v>4</v>
      </c>
    </row>
    <row r="9" spans="1:6">
      <c r="A9" s="1">
        <v>8</v>
      </c>
      <c r="B9" s="1" t="s">
        <v>30</v>
      </c>
      <c r="C9" s="1">
        <v>1</v>
      </c>
      <c r="D9" s="1" t="s">
        <v>14</v>
      </c>
      <c r="E9" s="1">
        <v>4</v>
      </c>
      <c r="F9" s="1">
        <v>4</v>
      </c>
    </row>
    <row r="10" spans="1:6">
      <c r="A10" s="1">
        <v>9</v>
      </c>
      <c r="B10" s="1" t="s">
        <v>30</v>
      </c>
      <c r="C10" s="1">
        <v>1</v>
      </c>
      <c r="D10" s="1" t="s">
        <v>11</v>
      </c>
      <c r="E10" s="1">
        <v>2</v>
      </c>
      <c r="F10" s="1">
        <v>3</v>
      </c>
    </row>
    <row r="11" spans="1:6">
      <c r="A11" s="1">
        <v>10</v>
      </c>
      <c r="B11" s="1" t="s">
        <v>30</v>
      </c>
      <c r="C11" s="1">
        <v>1</v>
      </c>
      <c r="D11" s="1" t="s">
        <v>11</v>
      </c>
      <c r="E11" s="1">
        <v>1</v>
      </c>
      <c r="F11" s="1">
        <v>2</v>
      </c>
    </row>
    <row r="12" spans="1:6">
      <c r="A12" s="1">
        <v>11</v>
      </c>
      <c r="B12" s="1" t="s">
        <v>29</v>
      </c>
      <c r="C12" s="1">
        <v>1</v>
      </c>
      <c r="D12" s="1" t="s">
        <v>11</v>
      </c>
      <c r="E12" s="1">
        <v>3</v>
      </c>
      <c r="F12" s="1">
        <v>3</v>
      </c>
    </row>
    <row r="13" spans="1:6">
      <c r="A13" s="1">
        <v>12</v>
      </c>
      <c r="B13" s="1" t="s">
        <v>30</v>
      </c>
      <c r="C13" s="1">
        <v>1</v>
      </c>
      <c r="D13" s="1" t="s">
        <v>11</v>
      </c>
      <c r="E13" s="1">
        <v>3</v>
      </c>
      <c r="F13" s="1">
        <v>4</v>
      </c>
    </row>
    <row r="14" spans="1:6">
      <c r="A14" s="1">
        <v>13</v>
      </c>
      <c r="B14" s="1" t="s">
        <v>30</v>
      </c>
      <c r="C14" s="1">
        <v>1</v>
      </c>
      <c r="D14" s="1" t="s">
        <v>11</v>
      </c>
      <c r="E14" s="1">
        <v>1</v>
      </c>
      <c r="F14" s="1">
        <v>3</v>
      </c>
    </row>
    <row r="15" spans="1:6">
      <c r="A15" s="1">
        <v>14</v>
      </c>
      <c r="B15" s="1" t="s">
        <v>29</v>
      </c>
      <c r="C15" s="1">
        <v>1</v>
      </c>
      <c r="D15" s="1" t="s">
        <v>11</v>
      </c>
      <c r="E15" s="1">
        <v>3</v>
      </c>
      <c r="F15" s="1">
        <v>3</v>
      </c>
    </row>
    <row r="16" spans="1:6">
      <c r="A16" s="1">
        <v>15</v>
      </c>
      <c r="B16" s="1" t="s">
        <v>29</v>
      </c>
      <c r="C16" s="1">
        <v>1</v>
      </c>
      <c r="D16" s="1" t="s">
        <v>11</v>
      </c>
      <c r="E16" s="1">
        <v>3</v>
      </c>
      <c r="F16" s="1">
        <v>4</v>
      </c>
    </row>
    <row r="17" spans="1:6">
      <c r="A17" s="1">
        <v>16</v>
      </c>
      <c r="B17" s="1" t="s">
        <v>29</v>
      </c>
      <c r="C17" s="1">
        <v>1</v>
      </c>
      <c r="D17" s="1" t="s">
        <v>11</v>
      </c>
      <c r="E17" s="1">
        <v>1</v>
      </c>
      <c r="F17" s="1">
        <v>1</v>
      </c>
    </row>
    <row r="18" spans="1:6">
      <c r="A18" s="1">
        <v>17</v>
      </c>
      <c r="B18" s="1" t="s">
        <v>29</v>
      </c>
      <c r="C18" s="1">
        <v>1</v>
      </c>
      <c r="D18" s="1" t="s">
        <v>14</v>
      </c>
      <c r="E18" s="1">
        <v>4</v>
      </c>
      <c r="F18" s="1">
        <v>4</v>
      </c>
    </row>
    <row r="19" spans="1:6">
      <c r="A19" s="1">
        <v>18</v>
      </c>
      <c r="B19" s="1" t="s">
        <v>30</v>
      </c>
      <c r="C19" s="1">
        <v>1</v>
      </c>
      <c r="D19" s="1" t="s">
        <v>11</v>
      </c>
      <c r="E19" s="1">
        <v>1</v>
      </c>
      <c r="F19" s="1">
        <v>2</v>
      </c>
    </row>
    <row r="20" spans="1:6">
      <c r="A20" s="1">
        <v>19</v>
      </c>
      <c r="B20" s="1" t="s">
        <v>29</v>
      </c>
      <c r="C20" s="1">
        <v>1</v>
      </c>
      <c r="D20" s="1" t="s">
        <v>11</v>
      </c>
      <c r="E20" s="1">
        <v>4</v>
      </c>
      <c r="F20" s="1">
        <v>4</v>
      </c>
    </row>
    <row r="21" spans="1:6">
      <c r="A21" s="1">
        <v>20</v>
      </c>
      <c r="B21" s="1" t="s">
        <v>30</v>
      </c>
      <c r="C21" s="1">
        <v>1</v>
      </c>
      <c r="D21" s="1" t="s">
        <v>14</v>
      </c>
      <c r="E21" s="1">
        <v>3</v>
      </c>
      <c r="F21" s="1">
        <v>4</v>
      </c>
    </row>
    <row r="22" spans="1:6">
      <c r="A22" s="1">
        <v>21</v>
      </c>
      <c r="B22" s="1" t="s">
        <v>29</v>
      </c>
      <c r="C22" s="1">
        <v>1</v>
      </c>
      <c r="D22" s="1" t="s">
        <v>14</v>
      </c>
      <c r="E22" s="1">
        <v>4</v>
      </c>
      <c r="F22" s="1">
        <v>4</v>
      </c>
    </row>
    <row r="23" spans="1:6">
      <c r="A23" s="1">
        <v>22</v>
      </c>
      <c r="B23" s="1" t="s">
        <v>29</v>
      </c>
      <c r="C23" s="1">
        <v>1</v>
      </c>
      <c r="D23" s="1" t="s">
        <v>11</v>
      </c>
      <c r="E23" s="1">
        <v>2</v>
      </c>
      <c r="F23" s="1">
        <v>3</v>
      </c>
    </row>
    <row r="24" spans="1:6">
      <c r="A24" s="1">
        <v>23</v>
      </c>
      <c r="B24" s="1" t="s">
        <v>31</v>
      </c>
      <c r="C24" s="1">
        <v>1</v>
      </c>
      <c r="D24" s="1" t="s">
        <v>11</v>
      </c>
      <c r="E24" s="1">
        <v>2</v>
      </c>
      <c r="F24" s="1">
        <v>4</v>
      </c>
    </row>
    <row r="25" spans="1:6">
      <c r="A25" s="1">
        <v>24</v>
      </c>
      <c r="B25" s="1" t="s">
        <v>29</v>
      </c>
      <c r="C25" s="1">
        <v>1</v>
      </c>
      <c r="D25" s="1" t="s">
        <v>14</v>
      </c>
      <c r="E25" s="1">
        <v>1</v>
      </c>
      <c r="F25" s="1">
        <v>1</v>
      </c>
    </row>
    <row r="26" spans="1:6">
      <c r="A26" s="1">
        <v>25</v>
      </c>
      <c r="B26" s="1" t="s">
        <v>30</v>
      </c>
      <c r="C26" s="1">
        <v>1</v>
      </c>
      <c r="D26" s="1" t="s">
        <v>11</v>
      </c>
      <c r="E26" s="1">
        <v>2</v>
      </c>
      <c r="F26" s="1">
        <v>4</v>
      </c>
    </row>
    <row r="27" spans="1:6">
      <c r="A27" s="1">
        <v>26</v>
      </c>
      <c r="B27" s="1" t="s">
        <v>31</v>
      </c>
      <c r="C27" s="1">
        <v>1</v>
      </c>
      <c r="D27" s="1" t="s">
        <v>11</v>
      </c>
      <c r="E27" s="1">
        <v>1</v>
      </c>
      <c r="F27" s="1">
        <v>2</v>
      </c>
    </row>
    <row r="28" spans="1:6">
      <c r="A28" s="1">
        <v>27</v>
      </c>
      <c r="B28" s="1" t="s">
        <v>31</v>
      </c>
      <c r="C28" s="1">
        <v>1</v>
      </c>
      <c r="D28" s="1" t="s">
        <v>11</v>
      </c>
      <c r="E28" s="1">
        <v>2</v>
      </c>
      <c r="F28" s="1">
        <v>4</v>
      </c>
    </row>
    <row r="29" spans="1:6">
      <c r="A29" s="1">
        <v>28</v>
      </c>
      <c r="B29" s="1" t="s">
        <v>30</v>
      </c>
      <c r="C29" s="1">
        <v>1</v>
      </c>
      <c r="D29" s="1" t="s">
        <v>11</v>
      </c>
      <c r="E29" s="1">
        <v>4</v>
      </c>
      <c r="F29" s="1">
        <v>4</v>
      </c>
    </row>
    <row r="30" spans="1:6">
      <c r="A30" s="1">
        <v>29</v>
      </c>
      <c r="B30" s="1" t="s">
        <v>31</v>
      </c>
      <c r="C30" s="1">
        <v>1</v>
      </c>
      <c r="D30" s="1" t="s">
        <v>14</v>
      </c>
      <c r="E30" s="1">
        <v>4</v>
      </c>
      <c r="F30" s="1">
        <v>4</v>
      </c>
    </row>
    <row r="31" spans="1:6">
      <c r="A31" s="1">
        <v>30</v>
      </c>
      <c r="B31" s="1" t="s">
        <v>31</v>
      </c>
      <c r="C31" s="1">
        <v>1</v>
      </c>
      <c r="D31" s="1" t="s">
        <v>11</v>
      </c>
      <c r="E31" s="1">
        <v>4</v>
      </c>
      <c r="F31" s="1">
        <v>4</v>
      </c>
    </row>
    <row r="32" spans="1:6">
      <c r="A32" s="1">
        <v>31</v>
      </c>
      <c r="B32" s="1" t="s">
        <v>31</v>
      </c>
      <c r="C32" s="1">
        <v>1</v>
      </c>
      <c r="D32" s="1" t="s">
        <v>11</v>
      </c>
      <c r="E32" s="1">
        <v>3</v>
      </c>
      <c r="F32" s="1">
        <v>4</v>
      </c>
    </row>
    <row r="33" spans="1:6">
      <c r="A33" s="1">
        <v>32</v>
      </c>
      <c r="B33" s="1" t="s">
        <v>29</v>
      </c>
      <c r="C33" s="1">
        <v>1</v>
      </c>
      <c r="D33" s="1" t="s">
        <v>14</v>
      </c>
      <c r="E33" s="1">
        <v>4</v>
      </c>
      <c r="F33" s="1">
        <v>4</v>
      </c>
    </row>
    <row r="34" spans="1:6">
      <c r="A34" s="1">
        <v>33</v>
      </c>
      <c r="B34" s="1" t="s">
        <v>29</v>
      </c>
      <c r="C34" s="1">
        <v>1</v>
      </c>
      <c r="D34" s="1" t="s">
        <v>14</v>
      </c>
      <c r="E34" s="1">
        <v>4</v>
      </c>
      <c r="F34" s="1">
        <v>4</v>
      </c>
    </row>
    <row r="35" spans="1:6">
      <c r="A35" s="1">
        <v>34</v>
      </c>
      <c r="B35" s="1" t="s">
        <v>30</v>
      </c>
      <c r="C35" s="1">
        <v>1</v>
      </c>
      <c r="D35" s="1" t="s">
        <v>11</v>
      </c>
      <c r="E35" s="1">
        <v>1</v>
      </c>
      <c r="F35" s="1">
        <v>2</v>
      </c>
    </row>
    <row r="36" spans="1:6">
      <c r="A36" s="1">
        <v>35</v>
      </c>
      <c r="B36" s="1" t="s">
        <v>31</v>
      </c>
      <c r="C36" s="1">
        <v>1</v>
      </c>
      <c r="D36" s="1" t="s">
        <v>14</v>
      </c>
      <c r="E36" s="1">
        <v>2</v>
      </c>
      <c r="F36" s="1">
        <v>4</v>
      </c>
    </row>
    <row r="37" spans="1:6">
      <c r="A37" s="1">
        <v>36</v>
      </c>
      <c r="B37" s="1" t="s">
        <v>31</v>
      </c>
      <c r="C37" s="1">
        <v>1</v>
      </c>
      <c r="D37" s="1" t="s">
        <v>14</v>
      </c>
      <c r="E37" s="1">
        <v>1</v>
      </c>
      <c r="F37" s="1">
        <v>2</v>
      </c>
    </row>
    <row r="38" spans="1:6">
      <c r="A38" s="1">
        <v>37</v>
      </c>
      <c r="B38" s="1" t="s">
        <v>30</v>
      </c>
      <c r="C38" s="1">
        <v>1</v>
      </c>
      <c r="D38" s="1" t="s">
        <v>14</v>
      </c>
      <c r="E38" s="1">
        <v>1</v>
      </c>
      <c r="F38" s="1">
        <v>3</v>
      </c>
    </row>
    <row r="39" spans="1:6">
      <c r="A39" s="1">
        <v>38</v>
      </c>
      <c r="B39" s="1" t="s">
        <v>29</v>
      </c>
      <c r="C39" s="1">
        <v>1</v>
      </c>
      <c r="D39" s="1" t="s">
        <v>11</v>
      </c>
      <c r="E39" s="1">
        <v>3</v>
      </c>
      <c r="F39" s="1">
        <v>4</v>
      </c>
    </row>
    <row r="40" spans="1:6">
      <c r="A40" s="1">
        <v>39</v>
      </c>
      <c r="B40" s="1" t="s">
        <v>31</v>
      </c>
      <c r="C40" s="1">
        <v>1</v>
      </c>
      <c r="D40" s="1" t="s">
        <v>11</v>
      </c>
      <c r="E40" s="1">
        <v>2</v>
      </c>
      <c r="F40" s="1">
        <v>3</v>
      </c>
    </row>
    <row r="41" spans="1:6">
      <c r="A41" s="1">
        <v>40</v>
      </c>
      <c r="B41" s="1" t="s">
        <v>30</v>
      </c>
      <c r="C41" s="1">
        <v>1</v>
      </c>
      <c r="D41" s="1" t="s">
        <v>11</v>
      </c>
      <c r="E41" s="1">
        <v>1</v>
      </c>
      <c r="F41" s="1">
        <v>3</v>
      </c>
    </row>
    <row r="42" spans="1:6">
      <c r="A42" s="1">
        <v>41</v>
      </c>
      <c r="B42" s="1" t="s">
        <v>31</v>
      </c>
      <c r="C42" s="1">
        <v>1</v>
      </c>
      <c r="D42" s="1" t="s">
        <v>11</v>
      </c>
      <c r="E42" s="1">
        <v>4</v>
      </c>
      <c r="F42" s="1">
        <v>4</v>
      </c>
    </row>
    <row r="43" spans="1:6">
      <c r="A43" s="1">
        <v>42</v>
      </c>
      <c r="B43" s="1" t="s">
        <v>31</v>
      </c>
      <c r="C43" s="1">
        <v>1</v>
      </c>
      <c r="D43" s="1" t="s">
        <v>11</v>
      </c>
      <c r="E43" s="1">
        <v>1</v>
      </c>
      <c r="F43" s="1">
        <v>3</v>
      </c>
    </row>
    <row r="44" spans="1:6">
      <c r="A44" s="1">
        <v>43</v>
      </c>
      <c r="B44" s="1" t="s">
        <v>30</v>
      </c>
      <c r="C44" s="1">
        <v>1</v>
      </c>
      <c r="D44" s="1" t="s">
        <v>11</v>
      </c>
      <c r="E44" s="1">
        <v>1</v>
      </c>
      <c r="F44" s="1">
        <v>3</v>
      </c>
    </row>
    <row r="45" spans="1:6">
      <c r="A45" s="1">
        <v>44</v>
      </c>
      <c r="B45" s="1" t="s">
        <v>31</v>
      </c>
      <c r="C45" s="1">
        <v>1</v>
      </c>
      <c r="D45" s="1" t="s">
        <v>14</v>
      </c>
      <c r="E45" s="1">
        <v>3</v>
      </c>
      <c r="F45" s="1">
        <v>4</v>
      </c>
    </row>
    <row r="46" spans="1:6">
      <c r="A46" s="1">
        <v>45</v>
      </c>
      <c r="B46" s="1" t="s">
        <v>29</v>
      </c>
      <c r="C46" s="1">
        <v>1</v>
      </c>
      <c r="D46" s="1" t="s">
        <v>14</v>
      </c>
      <c r="E46" s="1">
        <v>4</v>
      </c>
      <c r="F46" s="1">
        <v>4</v>
      </c>
    </row>
    <row r="47" spans="1:6">
      <c r="A47" s="1">
        <v>46</v>
      </c>
      <c r="B47" s="1" t="s">
        <v>29</v>
      </c>
      <c r="C47" s="1">
        <v>1</v>
      </c>
      <c r="D47" s="1" t="s">
        <v>11</v>
      </c>
      <c r="E47" s="1">
        <v>2</v>
      </c>
      <c r="F47" s="1">
        <v>3</v>
      </c>
    </row>
    <row r="48" spans="1:6">
      <c r="A48" s="1">
        <v>47</v>
      </c>
      <c r="B48" s="1" t="s">
        <v>30</v>
      </c>
      <c r="C48" s="1">
        <v>1</v>
      </c>
      <c r="D48" s="1" t="s">
        <v>11</v>
      </c>
      <c r="E48" s="1">
        <v>1</v>
      </c>
      <c r="F48" s="1">
        <v>3</v>
      </c>
    </row>
    <row r="49" spans="1:6">
      <c r="A49" s="1">
        <v>48</v>
      </c>
      <c r="B49" s="1" t="s">
        <v>29</v>
      </c>
      <c r="C49" s="1">
        <v>1</v>
      </c>
      <c r="D49" s="1" t="s">
        <v>11</v>
      </c>
      <c r="E49" s="1">
        <v>3</v>
      </c>
      <c r="F49" s="1">
        <v>4</v>
      </c>
    </row>
    <row r="50" spans="1:6">
      <c r="A50" s="1">
        <v>49</v>
      </c>
      <c r="B50" s="1" t="s">
        <v>31</v>
      </c>
      <c r="C50" s="1">
        <v>1</v>
      </c>
      <c r="D50" s="1" t="s">
        <v>11</v>
      </c>
      <c r="E50" s="1">
        <v>2</v>
      </c>
      <c r="F50" s="1">
        <v>4</v>
      </c>
    </row>
    <row r="51" spans="1:6">
      <c r="A51" s="1">
        <v>50</v>
      </c>
      <c r="B51" s="1" t="s">
        <v>30</v>
      </c>
      <c r="C51" s="1">
        <v>1</v>
      </c>
      <c r="D51" s="1" t="s">
        <v>11</v>
      </c>
      <c r="E51" s="1">
        <v>4</v>
      </c>
      <c r="F51" s="1">
        <v>4</v>
      </c>
    </row>
    <row r="52" spans="1:6">
      <c r="A52" s="1">
        <v>51</v>
      </c>
      <c r="B52" s="1" t="s">
        <v>30</v>
      </c>
      <c r="C52" s="1">
        <v>1</v>
      </c>
      <c r="D52" s="1" t="s">
        <v>11</v>
      </c>
      <c r="E52" s="1">
        <v>3</v>
      </c>
      <c r="F52" s="1">
        <v>4</v>
      </c>
    </row>
    <row r="53" spans="1:6">
      <c r="A53" s="1">
        <v>52</v>
      </c>
      <c r="B53" s="1" t="s">
        <v>31</v>
      </c>
      <c r="C53" s="1">
        <v>1</v>
      </c>
      <c r="D53" s="1" t="s">
        <v>11</v>
      </c>
      <c r="E53" s="1">
        <v>2</v>
      </c>
      <c r="F53" s="1">
        <v>3</v>
      </c>
    </row>
    <row r="54" spans="1:6">
      <c r="A54" s="1">
        <v>53</v>
      </c>
      <c r="B54" s="1" t="s">
        <v>30</v>
      </c>
      <c r="C54" s="1">
        <v>1</v>
      </c>
      <c r="D54" s="1" t="s">
        <v>11</v>
      </c>
      <c r="E54" s="1">
        <v>4</v>
      </c>
      <c r="F54" s="1">
        <v>4</v>
      </c>
    </row>
    <row r="55" spans="1:6">
      <c r="A55" s="1">
        <v>54</v>
      </c>
      <c r="B55" s="1" t="s">
        <v>31</v>
      </c>
      <c r="C55" s="1">
        <v>1</v>
      </c>
      <c r="D55" s="1" t="s">
        <v>11</v>
      </c>
      <c r="E55" s="1">
        <v>1</v>
      </c>
      <c r="F55" s="1">
        <v>3</v>
      </c>
    </row>
    <row r="56" spans="1:6">
      <c r="A56" s="1">
        <v>55</v>
      </c>
      <c r="B56" s="1" t="s">
        <v>31</v>
      </c>
      <c r="C56" s="1">
        <v>1</v>
      </c>
      <c r="D56" s="1" t="s">
        <v>11</v>
      </c>
      <c r="E56" s="1">
        <v>4</v>
      </c>
      <c r="F56" s="1">
        <v>4</v>
      </c>
    </row>
    <row r="57" spans="1:6">
      <c r="A57" s="1">
        <v>56</v>
      </c>
      <c r="B57" s="1" t="s">
        <v>31</v>
      </c>
      <c r="C57" s="1">
        <v>1</v>
      </c>
      <c r="D57" s="1" t="s">
        <v>11</v>
      </c>
      <c r="E57" s="1">
        <v>1</v>
      </c>
      <c r="F57" s="1">
        <v>3</v>
      </c>
    </row>
    <row r="58" spans="1:6">
      <c r="A58" s="1">
        <v>57</v>
      </c>
      <c r="B58" s="1" t="s">
        <v>29</v>
      </c>
      <c r="C58" s="1">
        <v>1</v>
      </c>
      <c r="D58" s="1" t="s">
        <v>14</v>
      </c>
      <c r="E58" s="1">
        <v>4</v>
      </c>
      <c r="F58" s="1">
        <v>4</v>
      </c>
    </row>
    <row r="59" spans="1:6">
      <c r="A59" s="1">
        <v>58</v>
      </c>
      <c r="B59" s="1" t="s">
        <v>29</v>
      </c>
      <c r="C59" s="1">
        <v>1</v>
      </c>
      <c r="D59" s="1" t="s">
        <v>14</v>
      </c>
      <c r="E59" s="1">
        <v>1</v>
      </c>
      <c r="F59" s="1">
        <v>2</v>
      </c>
    </row>
    <row r="60" spans="1:6">
      <c r="A60" s="1">
        <v>59</v>
      </c>
      <c r="B60" s="1" t="s">
        <v>30</v>
      </c>
      <c r="C60" s="1">
        <v>1</v>
      </c>
      <c r="D60" s="1" t="s">
        <v>11</v>
      </c>
      <c r="E60" s="1">
        <v>1</v>
      </c>
      <c r="F60" s="1">
        <v>3</v>
      </c>
    </row>
    <row r="61" spans="1:6">
      <c r="A61" s="1">
        <v>60</v>
      </c>
      <c r="B61" s="1" t="s">
        <v>29</v>
      </c>
      <c r="C61" s="1">
        <v>1</v>
      </c>
      <c r="D61" s="1" t="s">
        <v>11</v>
      </c>
      <c r="E61" s="1">
        <v>3</v>
      </c>
      <c r="F61" s="1">
        <v>4</v>
      </c>
    </row>
    <row r="62" spans="1:6">
      <c r="A62" s="1">
        <v>61</v>
      </c>
      <c r="B62" s="1" t="s">
        <v>31</v>
      </c>
      <c r="C62" s="1">
        <v>1</v>
      </c>
      <c r="D62" s="1" t="s">
        <v>11</v>
      </c>
      <c r="E62" s="1">
        <v>2</v>
      </c>
      <c r="F62" s="1">
        <v>4</v>
      </c>
    </row>
    <row r="63" spans="1:6">
      <c r="A63" s="1">
        <v>62</v>
      </c>
      <c r="B63" s="1" t="s">
        <v>30</v>
      </c>
      <c r="C63" s="1">
        <v>1</v>
      </c>
      <c r="D63" s="1" t="s">
        <v>11</v>
      </c>
      <c r="E63" s="1">
        <v>4</v>
      </c>
      <c r="F63" s="1">
        <v>4</v>
      </c>
    </row>
    <row r="64" spans="1:6">
      <c r="A64" s="1">
        <v>63</v>
      </c>
      <c r="B64" s="1" t="s">
        <v>31</v>
      </c>
      <c r="C64" s="1">
        <v>1</v>
      </c>
      <c r="D64" s="1" t="s">
        <v>11</v>
      </c>
      <c r="E64" s="1">
        <v>3</v>
      </c>
      <c r="F64" s="1">
        <v>4</v>
      </c>
    </row>
    <row r="65" spans="1:6">
      <c r="A65" s="1">
        <v>64</v>
      </c>
      <c r="B65" s="1" t="s">
        <v>31</v>
      </c>
      <c r="C65" s="1">
        <v>1</v>
      </c>
      <c r="D65" s="1" t="s">
        <v>11</v>
      </c>
      <c r="E65" s="1">
        <v>2</v>
      </c>
      <c r="F65" s="1">
        <v>3</v>
      </c>
    </row>
    <row r="66" spans="1:6">
      <c r="A66" s="1">
        <v>65</v>
      </c>
      <c r="B66" s="1" t="s">
        <v>31</v>
      </c>
      <c r="C66" s="1">
        <v>1</v>
      </c>
      <c r="D66" s="1" t="s">
        <v>11</v>
      </c>
      <c r="E66" s="1">
        <v>4</v>
      </c>
      <c r="F66" s="1">
        <v>4</v>
      </c>
    </row>
    <row r="67" spans="1:6">
      <c r="A67" s="1">
        <v>66</v>
      </c>
      <c r="B67" s="1" t="s">
        <v>31</v>
      </c>
      <c r="C67" s="1">
        <v>1</v>
      </c>
      <c r="D67" s="1" t="s">
        <v>11</v>
      </c>
      <c r="E67" s="1">
        <v>1</v>
      </c>
      <c r="F67" s="1">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62745-FF0C-457B-876F-1F60674B696C}">
  <sheetPr>
    <tabColor rgb="FFFFFF00"/>
  </sheetPr>
  <dimension ref="A1:A5"/>
  <sheetViews>
    <sheetView workbookViewId="0">
      <selection activeCell="A24" sqref="A24"/>
    </sheetView>
  </sheetViews>
  <sheetFormatPr baseColWidth="10" defaultColWidth="8.83203125" defaultRowHeight="15"/>
  <cols>
    <col min="1" max="1" width="84" customWidth="1"/>
  </cols>
  <sheetData>
    <row r="1" spans="1:1" ht="16">
      <c r="A1" s="2" t="s">
        <v>32</v>
      </c>
    </row>
    <row r="2" spans="1:1" ht="16">
      <c r="A2" s="3" t="s">
        <v>33</v>
      </c>
    </row>
    <row r="3" spans="1:1" ht="16">
      <c r="A3" s="3" t="s">
        <v>34</v>
      </c>
    </row>
    <row r="4" spans="1:1" ht="16">
      <c r="A4" s="2"/>
    </row>
    <row r="5" spans="1:1" ht="68">
      <c r="A5" s="4" t="s">
        <v>35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C936D-7765-ED49-8848-A22E8203D3DF}">
  <dimension ref="A1:H77"/>
  <sheetViews>
    <sheetView topLeftCell="A18" zoomScale="114" workbookViewId="0">
      <selection activeCell="H49" sqref="H49"/>
    </sheetView>
  </sheetViews>
  <sheetFormatPr baseColWidth="10" defaultRowHeight="15"/>
  <cols>
    <col min="1" max="1" width="20.83203125" customWidth="1"/>
    <col min="2" max="2" width="19" customWidth="1"/>
    <col min="4" max="4" width="15.1640625" customWidth="1"/>
    <col min="5" max="5" width="24" customWidth="1"/>
    <col min="6" max="6" width="23.5" customWidth="1"/>
    <col min="7" max="7" width="19.1640625" customWidth="1"/>
    <col min="8" max="8" width="11.6640625" bestFit="1" customWidth="1"/>
    <col min="15" max="15" width="11" bestFit="1" customWidth="1"/>
    <col min="16" max="16" width="11.6640625" bestFit="1" customWidth="1"/>
  </cols>
  <sheetData>
    <row r="1" spans="1:8">
      <c r="A1" t="s">
        <v>58</v>
      </c>
      <c r="B1" t="s">
        <v>59</v>
      </c>
    </row>
    <row r="2" spans="1:8">
      <c r="A2">
        <v>2909</v>
      </c>
      <c r="B2">
        <v>5130</v>
      </c>
    </row>
    <row r="3" spans="1:8">
      <c r="A3">
        <v>2670</v>
      </c>
      <c r="B3">
        <v>2090</v>
      </c>
    </row>
    <row r="4" spans="1:8">
      <c r="A4">
        <v>4193</v>
      </c>
      <c r="B4">
        <v>3468</v>
      </c>
    </row>
    <row r="5" spans="1:8">
      <c r="A5">
        <v>11994</v>
      </c>
      <c r="B5">
        <v>3068</v>
      </c>
    </row>
    <row r="6" spans="1:8">
      <c r="A6">
        <v>3919</v>
      </c>
      <c r="B6">
        <v>2693</v>
      </c>
      <c r="F6" s="66" t="s">
        <v>148</v>
      </c>
    </row>
    <row r="7" spans="1:8">
      <c r="A7">
        <v>2645</v>
      </c>
      <c r="B7">
        <v>2426</v>
      </c>
      <c r="E7" s="68" t="s">
        <v>58</v>
      </c>
      <c r="F7" s="68" t="s">
        <v>149</v>
      </c>
      <c r="G7" s="68" t="s">
        <v>59</v>
      </c>
      <c r="H7" s="68" t="s">
        <v>150</v>
      </c>
    </row>
    <row r="8" spans="1:8">
      <c r="A8">
        <v>3419</v>
      </c>
      <c r="B8">
        <v>2911</v>
      </c>
      <c r="E8" t="s">
        <v>137</v>
      </c>
      <c r="F8">
        <v>8126.840909090909</v>
      </c>
      <c r="G8" t="s">
        <v>137</v>
      </c>
      <c r="H8">
        <v>4107.113636363636</v>
      </c>
    </row>
    <row r="9" spans="1:8">
      <c r="A9">
        <v>2341</v>
      </c>
      <c r="B9">
        <v>2661</v>
      </c>
      <c r="E9" t="s">
        <v>138</v>
      </c>
      <c r="F9">
        <v>941.93006889938988</v>
      </c>
      <c r="G9" t="s">
        <v>138</v>
      </c>
      <c r="H9">
        <v>534.42914973312452</v>
      </c>
    </row>
    <row r="10" spans="1:8">
      <c r="A10">
        <v>4011</v>
      </c>
      <c r="B10">
        <v>2028</v>
      </c>
      <c r="E10" t="s">
        <v>139</v>
      </c>
      <c r="F10">
        <v>4411</v>
      </c>
      <c r="G10" t="s">
        <v>139</v>
      </c>
      <c r="H10">
        <v>2900</v>
      </c>
    </row>
    <row r="11" spans="1:8">
      <c r="A11">
        <v>19545</v>
      </c>
      <c r="B11">
        <v>3298</v>
      </c>
      <c r="E11" t="s">
        <v>140</v>
      </c>
      <c r="F11" s="67" t="e">
        <v>#N/A</v>
      </c>
      <c r="G11" t="s">
        <v>140</v>
      </c>
      <c r="H11">
        <v>2293</v>
      </c>
    </row>
    <row r="12" spans="1:8">
      <c r="A12">
        <v>13458</v>
      </c>
      <c r="B12">
        <v>2935</v>
      </c>
      <c r="E12" t="s">
        <v>141</v>
      </c>
      <c r="F12">
        <v>6248.0572345857727</v>
      </c>
      <c r="G12" t="s">
        <v>141</v>
      </c>
      <c r="H12">
        <v>3545.0019333868777</v>
      </c>
    </row>
    <row r="13" spans="1:8">
      <c r="A13">
        <v>4014</v>
      </c>
      <c r="B13">
        <v>3944</v>
      </c>
      <c r="E13" t="s">
        <v>142</v>
      </c>
      <c r="F13">
        <v>39038219.206659615</v>
      </c>
      <c r="G13" t="s">
        <v>142</v>
      </c>
      <c r="H13">
        <v>12567038.707716702</v>
      </c>
    </row>
    <row r="14" spans="1:8">
      <c r="A14">
        <v>2406</v>
      </c>
      <c r="B14">
        <v>1232</v>
      </c>
      <c r="E14" t="s">
        <v>143</v>
      </c>
      <c r="F14">
        <v>-1.1599010745358806</v>
      </c>
      <c r="G14" t="s">
        <v>143</v>
      </c>
      <c r="H14">
        <v>9.1940103703106111</v>
      </c>
    </row>
    <row r="15" spans="1:8">
      <c r="A15">
        <v>18740</v>
      </c>
      <c r="B15">
        <v>2960</v>
      </c>
      <c r="E15" t="s">
        <v>144</v>
      </c>
      <c r="F15">
        <v>0.71816309868937245</v>
      </c>
      <c r="G15" t="s">
        <v>144</v>
      </c>
      <c r="H15">
        <v>2.9357696641175206</v>
      </c>
    </row>
    <row r="16" spans="1:8">
      <c r="A16">
        <v>3038</v>
      </c>
      <c r="B16">
        <v>2496</v>
      </c>
      <c r="E16" t="s">
        <v>145</v>
      </c>
      <c r="F16">
        <v>17488</v>
      </c>
      <c r="G16" t="s">
        <v>145</v>
      </c>
      <c r="H16">
        <v>18305</v>
      </c>
    </row>
    <row r="17" spans="1:8">
      <c r="A17">
        <v>5329</v>
      </c>
      <c r="B17">
        <v>2206</v>
      </c>
      <c r="E17" t="s">
        <v>146</v>
      </c>
      <c r="F17">
        <v>2213</v>
      </c>
      <c r="G17" t="s">
        <v>146</v>
      </c>
      <c r="H17">
        <v>1232</v>
      </c>
    </row>
    <row r="18" spans="1:8">
      <c r="A18">
        <v>13549</v>
      </c>
      <c r="B18">
        <v>2293</v>
      </c>
      <c r="E18" t="s">
        <v>147</v>
      </c>
      <c r="F18">
        <v>19701</v>
      </c>
      <c r="G18" t="s">
        <v>147</v>
      </c>
      <c r="H18">
        <v>19537</v>
      </c>
    </row>
    <row r="19" spans="1:8">
      <c r="A19">
        <v>2926</v>
      </c>
      <c r="B19">
        <v>1951</v>
      </c>
      <c r="E19" t="s">
        <v>67</v>
      </c>
      <c r="F19">
        <v>357581</v>
      </c>
      <c r="G19" t="s">
        <v>67</v>
      </c>
      <c r="H19">
        <v>180713</v>
      </c>
    </row>
    <row r="20" spans="1:8">
      <c r="A20">
        <v>4809</v>
      </c>
      <c r="B20">
        <v>2293</v>
      </c>
      <c r="E20" t="s">
        <v>66</v>
      </c>
      <c r="F20">
        <v>44</v>
      </c>
      <c r="G20" t="s">
        <v>66</v>
      </c>
      <c r="H20">
        <v>44</v>
      </c>
    </row>
    <row r="21" spans="1:8">
      <c r="A21">
        <v>18172</v>
      </c>
      <c r="B21">
        <v>3022</v>
      </c>
    </row>
    <row r="22" spans="1:8">
      <c r="A22">
        <v>2871</v>
      </c>
      <c r="B22">
        <v>2269</v>
      </c>
    </row>
    <row r="23" spans="1:8" ht="16" thickBot="1">
      <c r="A23">
        <v>4505</v>
      </c>
      <c r="B23">
        <v>5381</v>
      </c>
    </row>
    <row r="24" spans="1:8">
      <c r="A24">
        <v>2835</v>
      </c>
      <c r="B24">
        <v>3441</v>
      </c>
      <c r="E24" s="99" t="s">
        <v>36</v>
      </c>
      <c r="F24" s="100"/>
      <c r="G24" s="100"/>
      <c r="H24" s="101"/>
    </row>
    <row r="25" spans="1:8">
      <c r="A25">
        <v>4963</v>
      </c>
      <c r="B25">
        <v>5915</v>
      </c>
      <c r="E25" s="102"/>
      <c r="F25" s="103"/>
      <c r="G25" s="103"/>
      <c r="H25" s="104"/>
    </row>
    <row r="26" spans="1:8">
      <c r="A26">
        <v>2368</v>
      </c>
      <c r="B26">
        <v>9724</v>
      </c>
      <c r="E26" s="96" t="s">
        <v>37</v>
      </c>
      <c r="F26" s="97"/>
      <c r="G26" s="97"/>
      <c r="H26" s="98"/>
    </row>
    <row r="27" spans="1:8">
      <c r="A27">
        <v>4739</v>
      </c>
      <c r="B27">
        <v>2194</v>
      </c>
      <c r="E27" s="5" t="s">
        <v>38</v>
      </c>
      <c r="F27" s="6" t="s">
        <v>39</v>
      </c>
      <c r="G27" s="6">
        <f>IF(G28="&gt;",[1]Sheet1!$AO$4,IF(G28="&lt;",[1]Sheet1!$AO$5,[1]Sheet1!$AO$6))</f>
        <v>0</v>
      </c>
      <c r="H27" s="7">
        <f>H28</f>
        <v>0</v>
      </c>
    </row>
    <row r="28" spans="1:8">
      <c r="A28">
        <v>4317</v>
      </c>
      <c r="B28">
        <v>3388</v>
      </c>
      <c r="E28" s="5" t="s">
        <v>40</v>
      </c>
      <c r="F28" s="6" t="s">
        <v>39</v>
      </c>
      <c r="G28" s="8" t="s">
        <v>41</v>
      </c>
      <c r="H28" s="9">
        <v>0</v>
      </c>
    </row>
    <row r="29" spans="1:8">
      <c r="A29">
        <v>3346</v>
      </c>
      <c r="B29">
        <v>2703</v>
      </c>
      <c r="E29" s="10" t="s">
        <v>42</v>
      </c>
      <c r="F29" s="11"/>
      <c r="G29" s="11"/>
      <c r="H29" s="12" t="str">
        <f>IF(G28="&lt;","Lower",IF(G28="&gt;","Upper","Two"))</f>
        <v>Two</v>
      </c>
    </row>
    <row r="30" spans="1:8">
      <c r="A30">
        <v>4257</v>
      </c>
      <c r="B30">
        <v>2501</v>
      </c>
      <c r="E30" s="96" t="s">
        <v>43</v>
      </c>
      <c r="F30" s="97"/>
      <c r="G30" s="97"/>
      <c r="H30" s="98"/>
    </row>
    <row r="31" spans="1:8">
      <c r="A31">
        <v>3929</v>
      </c>
      <c r="B31">
        <v>6220</v>
      </c>
      <c r="E31" s="13"/>
      <c r="F31" s="14"/>
      <c r="G31" s="15" t="s">
        <v>44</v>
      </c>
      <c r="H31" s="16">
        <v>0.05</v>
      </c>
    </row>
    <row r="32" spans="1:8">
      <c r="A32">
        <v>2657</v>
      </c>
      <c r="B32">
        <v>13245</v>
      </c>
      <c r="E32" s="96" t="s">
        <v>45</v>
      </c>
      <c r="F32" s="97"/>
      <c r="G32" s="97"/>
      <c r="H32" s="98"/>
    </row>
    <row r="33" spans="1:8">
      <c r="A33">
        <v>2593</v>
      </c>
      <c r="B33">
        <v>13664</v>
      </c>
      <c r="E33" s="92" t="s">
        <v>46</v>
      </c>
      <c r="F33" s="93"/>
      <c r="G33" s="93"/>
      <c r="H33" s="17">
        <f>H40+H44-2</f>
        <v>118</v>
      </c>
    </row>
    <row r="34" spans="1:8">
      <c r="A34">
        <v>13603</v>
      </c>
      <c r="B34">
        <v>5126</v>
      </c>
      <c r="E34" s="92" t="str">
        <f>IF(G27="=","Lower Critical Value","Critical Value")</f>
        <v>Critical Value</v>
      </c>
      <c r="F34" s="93"/>
      <c r="G34" s="93"/>
      <c r="H34" s="18">
        <f>IF(H29="Two",-(TINV(H31,H33)),IF(H29="Lower",-(TINV(H31*2,H33)),TINV(H31*2,H33)))</f>
        <v>-1.9802722492729716</v>
      </c>
    </row>
    <row r="35" spans="1:8">
      <c r="A35">
        <v>18665</v>
      </c>
      <c r="B35">
        <v>2859</v>
      </c>
      <c r="E35" s="86" t="str">
        <f>IF(G27="=","Upper Critical Value","")</f>
        <v/>
      </c>
      <c r="F35" s="87"/>
      <c r="G35" s="88"/>
      <c r="H35" s="19" t="str">
        <f>IF(G27="=",-H34,"")</f>
        <v/>
      </c>
    </row>
    <row r="36" spans="1:8">
      <c r="A36">
        <v>12061</v>
      </c>
      <c r="B36">
        <v>2075</v>
      </c>
      <c r="E36" s="96" t="s">
        <v>47</v>
      </c>
      <c r="F36" s="97"/>
      <c r="G36" s="97"/>
      <c r="H36" s="98"/>
    </row>
    <row r="37" spans="1:8">
      <c r="A37">
        <v>15992</v>
      </c>
      <c r="B37">
        <v>2042</v>
      </c>
      <c r="E37" s="105" t="s">
        <v>48</v>
      </c>
      <c r="F37" s="106"/>
      <c r="G37" s="106"/>
      <c r="H37" s="107"/>
    </row>
    <row r="38" spans="1:8">
      <c r="A38">
        <v>2213</v>
      </c>
      <c r="B38">
        <v>2956</v>
      </c>
      <c r="E38" s="86" t="s">
        <v>49</v>
      </c>
      <c r="F38" s="87"/>
      <c r="G38" s="88"/>
      <c r="H38" s="16">
        <v>6248.06</v>
      </c>
    </row>
    <row r="39" spans="1:8">
      <c r="A39">
        <v>16184</v>
      </c>
      <c r="B39">
        <v>2889</v>
      </c>
      <c r="E39" s="86" t="s">
        <v>50</v>
      </c>
      <c r="F39" s="87"/>
      <c r="G39" s="88"/>
      <c r="H39" s="16">
        <v>8126.84</v>
      </c>
    </row>
    <row r="40" spans="1:8">
      <c r="A40">
        <v>11159</v>
      </c>
      <c r="B40">
        <v>6074</v>
      </c>
      <c r="E40" s="86" t="s">
        <v>51</v>
      </c>
      <c r="F40" s="87"/>
      <c r="G40" s="88"/>
      <c r="H40" s="9">
        <v>44</v>
      </c>
    </row>
    <row r="41" spans="1:8">
      <c r="A41">
        <v>11416</v>
      </c>
      <c r="B41">
        <v>2774</v>
      </c>
      <c r="E41" s="105" t="s">
        <v>52</v>
      </c>
      <c r="F41" s="106"/>
      <c r="G41" s="106"/>
      <c r="H41" s="107"/>
    </row>
    <row r="42" spans="1:8">
      <c r="A42">
        <v>13191</v>
      </c>
      <c r="B42">
        <v>2613</v>
      </c>
      <c r="E42" s="86" t="s">
        <v>49</v>
      </c>
      <c r="F42" s="87"/>
      <c r="G42" s="88"/>
      <c r="H42" s="16">
        <v>6271.48</v>
      </c>
    </row>
    <row r="43" spans="1:8">
      <c r="A43">
        <v>16880</v>
      </c>
      <c r="B43">
        <v>19537</v>
      </c>
      <c r="E43" s="86" t="s">
        <v>50</v>
      </c>
      <c r="F43" s="87"/>
      <c r="G43" s="88"/>
      <c r="H43" s="16">
        <v>7119.36</v>
      </c>
    </row>
    <row r="44" spans="1:8">
      <c r="A44">
        <v>19701</v>
      </c>
      <c r="B44">
        <v>3452</v>
      </c>
      <c r="E44" s="86" t="s">
        <v>51</v>
      </c>
      <c r="F44" s="87"/>
      <c r="G44" s="88"/>
      <c r="H44" s="9">
        <v>76</v>
      </c>
    </row>
    <row r="45" spans="1:8">
      <c r="A45">
        <v>19049</v>
      </c>
      <c r="B45">
        <v>2566</v>
      </c>
      <c r="E45" s="83"/>
      <c r="F45" s="84"/>
      <c r="G45" s="84"/>
      <c r="H45" s="85"/>
    </row>
    <row r="46" spans="1:8">
      <c r="B46">
        <v>3058</v>
      </c>
      <c r="E46" s="86" t="s">
        <v>53</v>
      </c>
      <c r="F46" s="87"/>
      <c r="G46" s="88"/>
      <c r="H46" s="20">
        <f>((H40-1)*H38^2+(H44-1)*H42^2)/H33</f>
        <v>39224614.543345757</v>
      </c>
    </row>
    <row r="47" spans="1:8">
      <c r="B47">
        <v>18722</v>
      </c>
      <c r="E47" s="92" t="s">
        <v>54</v>
      </c>
      <c r="F47" s="93"/>
      <c r="G47" s="93"/>
      <c r="H47" s="21">
        <f>SQRT(H46*(1/H40+1/H44))</f>
        <v>1186.4155518212481</v>
      </c>
    </row>
    <row r="48" spans="1:8">
      <c r="B48">
        <v>3564</v>
      </c>
      <c r="E48" s="94" t="s">
        <v>55</v>
      </c>
      <c r="F48" s="95"/>
      <c r="G48" s="95"/>
      <c r="H48" s="51">
        <f>((H39-H43)-H27)/H47</f>
        <v>0.84917969800162652</v>
      </c>
    </row>
    <row r="49" spans="2:8">
      <c r="B49">
        <v>3815</v>
      </c>
      <c r="E49" s="92" t="s">
        <v>56</v>
      </c>
      <c r="F49" s="93"/>
      <c r="G49" s="93"/>
      <c r="H49" s="51">
        <f>IF(G27="=",TDIST(ABS(H48),H33,2),IF(H48*H34&gt;0,TDIST(ABS(H48),H33,1),1-TDIST(ABS(H48),H33,1)))</f>
        <v>0.80124959318824263</v>
      </c>
    </row>
    <row r="50" spans="2:8">
      <c r="B50">
        <v>2741</v>
      </c>
      <c r="E50" s="83"/>
      <c r="F50" s="84"/>
      <c r="G50" s="84"/>
      <c r="H50" s="85"/>
    </row>
    <row r="51" spans="2:8">
      <c r="B51">
        <v>2328</v>
      </c>
      <c r="E51" s="96" t="s">
        <v>57</v>
      </c>
      <c r="F51" s="97"/>
      <c r="G51" s="97"/>
      <c r="H51" s="98"/>
    </row>
    <row r="52" spans="2:8" ht="16" thickBot="1">
      <c r="B52">
        <v>12490</v>
      </c>
      <c r="E52" s="89" t="str">
        <f>IF(H49&lt;H31,"Reject Null Hypothesis", "Fail to reject Null Hypothesis")</f>
        <v>Fail to reject Null Hypothesis</v>
      </c>
      <c r="F52" s="90"/>
      <c r="G52" s="90"/>
      <c r="H52" s="91"/>
    </row>
    <row r="53" spans="2:8">
      <c r="B53">
        <v>12185</v>
      </c>
    </row>
    <row r="54" spans="2:8">
      <c r="B54">
        <v>2389</v>
      </c>
    </row>
    <row r="55" spans="2:8">
      <c r="B55">
        <v>2436</v>
      </c>
    </row>
    <row r="56" spans="2:8">
      <c r="B56">
        <v>3730</v>
      </c>
    </row>
    <row r="57" spans="2:8">
      <c r="B57">
        <v>13675</v>
      </c>
    </row>
    <row r="58" spans="2:8">
      <c r="B58">
        <v>19436</v>
      </c>
    </row>
    <row r="59" spans="2:8">
      <c r="B59">
        <v>19144</v>
      </c>
    </row>
    <row r="60" spans="2:8">
      <c r="B60">
        <v>17584</v>
      </c>
    </row>
    <row r="61" spans="2:8">
      <c r="B61">
        <v>5415</v>
      </c>
    </row>
    <row r="62" spans="2:8">
      <c r="B62">
        <v>3161</v>
      </c>
    </row>
    <row r="63" spans="2:8">
      <c r="B63">
        <v>2373</v>
      </c>
    </row>
    <row r="64" spans="2:8">
      <c r="B64">
        <v>18300</v>
      </c>
    </row>
    <row r="65" spans="2:2">
      <c r="B65">
        <v>2119</v>
      </c>
    </row>
    <row r="66" spans="2:2">
      <c r="B66">
        <v>11510</v>
      </c>
    </row>
    <row r="67" spans="2:2">
      <c r="B67">
        <v>14336</v>
      </c>
    </row>
    <row r="68" spans="2:2">
      <c r="B68">
        <v>19406</v>
      </c>
    </row>
    <row r="69" spans="2:2">
      <c r="B69">
        <v>11935</v>
      </c>
    </row>
    <row r="70" spans="2:2">
      <c r="B70">
        <v>17861</v>
      </c>
    </row>
    <row r="71" spans="2:2">
      <c r="B71">
        <v>19502</v>
      </c>
    </row>
    <row r="72" spans="2:2">
      <c r="B72">
        <v>16627</v>
      </c>
    </row>
    <row r="73" spans="2:2">
      <c r="B73">
        <v>14814</v>
      </c>
    </row>
    <row r="74" spans="2:2">
      <c r="B74">
        <v>19246</v>
      </c>
    </row>
    <row r="75" spans="2:2">
      <c r="B75">
        <v>12808</v>
      </c>
    </row>
    <row r="76" spans="2:2">
      <c r="B76">
        <v>19237</v>
      </c>
    </row>
    <row r="77" spans="2:2">
      <c r="B77">
        <v>14411</v>
      </c>
    </row>
  </sheetData>
  <mergeCells count="25">
    <mergeCell ref="E41:H41"/>
    <mergeCell ref="E34:G34"/>
    <mergeCell ref="E35:G35"/>
    <mergeCell ref="E36:H36"/>
    <mergeCell ref="E37:H37"/>
    <mergeCell ref="E38:G38"/>
    <mergeCell ref="E39:G39"/>
    <mergeCell ref="E40:G40"/>
    <mergeCell ref="E33:G33"/>
    <mergeCell ref="E24:H24"/>
    <mergeCell ref="E25:H25"/>
    <mergeCell ref="E26:H26"/>
    <mergeCell ref="E30:H30"/>
    <mergeCell ref="E32:H32"/>
    <mergeCell ref="E45:H45"/>
    <mergeCell ref="E42:G42"/>
    <mergeCell ref="E43:G43"/>
    <mergeCell ref="E52:H52"/>
    <mergeCell ref="E46:G46"/>
    <mergeCell ref="E47:G47"/>
    <mergeCell ref="E48:G48"/>
    <mergeCell ref="E49:G49"/>
    <mergeCell ref="E50:H50"/>
    <mergeCell ref="E51:H51"/>
    <mergeCell ref="E44:G44"/>
  </mergeCells>
  <conditionalFormatting sqref="H35">
    <cfRule type="cellIs" dxfId="1" priority="1" stopIfTrue="1" operator="notEqual">
      <formula>""</formula>
    </cfRule>
  </conditionalFormatting>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65C40-601C-1840-A20A-716C4B242DB4}">
  <dimension ref="A1:N49"/>
  <sheetViews>
    <sheetView zoomScale="86" workbookViewId="0">
      <selection activeCell="M45" sqref="M45"/>
    </sheetView>
  </sheetViews>
  <sheetFormatPr baseColWidth="10" defaultRowHeight="15"/>
  <cols>
    <col min="1" max="1" width="21.83203125" customWidth="1"/>
    <col min="2" max="2" width="22.83203125" customWidth="1"/>
    <col min="3" max="3" width="20.6640625" customWidth="1"/>
    <col min="8" max="8" width="22.33203125" customWidth="1"/>
    <col min="9" max="9" width="16.83203125" customWidth="1"/>
    <col min="10" max="10" width="23.1640625" customWidth="1"/>
    <col min="12" max="12" width="20.83203125" customWidth="1"/>
  </cols>
  <sheetData>
    <row r="1" spans="1:13">
      <c r="A1" t="s">
        <v>60</v>
      </c>
      <c r="B1" t="s">
        <v>61</v>
      </c>
      <c r="C1" t="s">
        <v>62</v>
      </c>
    </row>
    <row r="2" spans="1:13">
      <c r="A2">
        <v>5130</v>
      </c>
      <c r="B2">
        <v>2693</v>
      </c>
      <c r="C2">
        <v>2090</v>
      </c>
    </row>
    <row r="3" spans="1:13">
      <c r="A3">
        <v>2909</v>
      </c>
      <c r="B3">
        <v>2911</v>
      </c>
      <c r="C3">
        <v>3068</v>
      </c>
    </row>
    <row r="4" spans="1:13" ht="17" thickBot="1">
      <c r="A4">
        <v>3468</v>
      </c>
      <c r="B4">
        <v>2661</v>
      </c>
      <c r="C4">
        <v>4193</v>
      </c>
      <c r="H4" s="108" t="s">
        <v>81</v>
      </c>
      <c r="I4" s="108"/>
      <c r="J4" s="108"/>
      <c r="K4" s="108"/>
      <c r="L4" s="108"/>
      <c r="M4" s="108"/>
    </row>
    <row r="5" spans="1:13">
      <c r="A5">
        <v>2670</v>
      </c>
      <c r="B5">
        <v>3298</v>
      </c>
      <c r="C5">
        <v>2028</v>
      </c>
      <c r="H5" s="68" t="s">
        <v>60</v>
      </c>
      <c r="I5" s="68" t="s">
        <v>149</v>
      </c>
      <c r="J5" s="68" t="s">
        <v>61</v>
      </c>
      <c r="K5" s="68" t="s">
        <v>150</v>
      </c>
      <c r="L5" s="68" t="s">
        <v>62</v>
      </c>
      <c r="M5" s="68" t="s">
        <v>151</v>
      </c>
    </row>
    <row r="6" spans="1:13">
      <c r="A6">
        <v>2426</v>
      </c>
      <c r="B6">
        <v>2935</v>
      </c>
      <c r="C6">
        <v>3944</v>
      </c>
      <c r="H6" t="s">
        <v>137</v>
      </c>
      <c r="I6">
        <v>7700.166666666667</v>
      </c>
      <c r="J6" t="s">
        <v>137</v>
      </c>
      <c r="K6">
        <v>8242.5882352941171</v>
      </c>
      <c r="L6" t="s">
        <v>137</v>
      </c>
      <c r="M6">
        <v>6547.2631578947367</v>
      </c>
    </row>
    <row r="7" spans="1:13">
      <c r="A7">
        <v>2293</v>
      </c>
      <c r="B7">
        <v>2645</v>
      </c>
      <c r="C7">
        <v>11994</v>
      </c>
      <c r="H7" t="s">
        <v>138</v>
      </c>
      <c r="I7">
        <v>926.42885249501194</v>
      </c>
      <c r="J7" t="s">
        <v>138</v>
      </c>
      <c r="K7">
        <v>1120.3504330794592</v>
      </c>
      <c r="L7" t="s">
        <v>138</v>
      </c>
      <c r="M7">
        <v>945.55369065543084</v>
      </c>
    </row>
    <row r="8" spans="1:13">
      <c r="A8">
        <v>3419</v>
      </c>
      <c r="B8">
        <v>1951</v>
      </c>
      <c r="C8">
        <v>1232</v>
      </c>
      <c r="H8" t="s">
        <v>139</v>
      </c>
      <c r="I8">
        <v>3746.5</v>
      </c>
      <c r="J8" t="s">
        <v>139</v>
      </c>
      <c r="K8">
        <v>4381</v>
      </c>
      <c r="L8" t="s">
        <v>139</v>
      </c>
      <c r="M8">
        <v>3824.5</v>
      </c>
    </row>
    <row r="9" spans="1:13">
      <c r="A9">
        <v>19545</v>
      </c>
      <c r="B9">
        <v>2341</v>
      </c>
      <c r="C9">
        <v>2960</v>
      </c>
      <c r="H9" t="s">
        <v>140</v>
      </c>
      <c r="I9" t="e">
        <v>#N/A</v>
      </c>
      <c r="J9" t="s">
        <v>140</v>
      </c>
      <c r="K9" t="e">
        <v>#N/A</v>
      </c>
      <c r="L9" t="s">
        <v>140</v>
      </c>
      <c r="M9" t="e">
        <v>#N/A</v>
      </c>
    </row>
    <row r="10" spans="1:13">
      <c r="A10">
        <v>3022</v>
      </c>
      <c r="B10">
        <v>5915</v>
      </c>
      <c r="C10">
        <v>3919</v>
      </c>
      <c r="H10" t="s">
        <v>141</v>
      </c>
      <c r="I10">
        <v>6418.4873684763743</v>
      </c>
      <c r="J10" t="s">
        <v>141</v>
      </c>
      <c r="K10">
        <v>6532.709480655426</v>
      </c>
      <c r="L10" t="s">
        <v>141</v>
      </c>
      <c r="M10">
        <v>5828.7844112353332</v>
      </c>
    </row>
    <row r="11" spans="1:13">
      <c r="A11">
        <v>2269</v>
      </c>
      <c r="B11">
        <v>18740</v>
      </c>
      <c r="C11">
        <v>2496</v>
      </c>
      <c r="H11" t="s">
        <v>142</v>
      </c>
      <c r="I11">
        <v>41196980.099290773</v>
      </c>
      <c r="J11" t="s">
        <v>142</v>
      </c>
      <c r="K11">
        <v>42676293.15864528</v>
      </c>
      <c r="L11" t="s">
        <v>142</v>
      </c>
      <c r="M11">
        <v>33974727.71266003</v>
      </c>
    </row>
    <row r="12" spans="1:13">
      <c r="A12">
        <v>4014</v>
      </c>
      <c r="B12">
        <v>9724</v>
      </c>
      <c r="C12">
        <v>2206</v>
      </c>
      <c r="H12" t="s">
        <v>143</v>
      </c>
      <c r="I12">
        <v>-1.0376606840312306</v>
      </c>
      <c r="J12" t="s">
        <v>143</v>
      </c>
      <c r="K12">
        <v>-1.29201598112427</v>
      </c>
      <c r="L12" t="s">
        <v>143</v>
      </c>
      <c r="M12">
        <v>7.5503642146923067E-2</v>
      </c>
    </row>
    <row r="13" spans="1:13">
      <c r="A13">
        <v>2194</v>
      </c>
      <c r="B13">
        <v>5329</v>
      </c>
      <c r="C13">
        <v>2293</v>
      </c>
      <c r="H13" t="s">
        <v>144</v>
      </c>
      <c r="I13">
        <v>0.81157454989824263</v>
      </c>
      <c r="J13" t="s">
        <v>144</v>
      </c>
      <c r="K13">
        <v>0.63436921596979567</v>
      </c>
      <c r="L13" t="s">
        <v>144</v>
      </c>
      <c r="M13">
        <v>1.2713433468327076</v>
      </c>
    </row>
    <row r="14" spans="1:13">
      <c r="A14">
        <v>3388</v>
      </c>
      <c r="B14">
        <v>4505</v>
      </c>
      <c r="C14">
        <v>4011</v>
      </c>
      <c r="H14" t="s">
        <v>145</v>
      </c>
      <c r="I14">
        <v>17659</v>
      </c>
      <c r="J14" t="s">
        <v>145</v>
      </c>
      <c r="K14">
        <v>17551</v>
      </c>
      <c r="L14" t="s">
        <v>145</v>
      </c>
      <c r="M14">
        <v>18305</v>
      </c>
    </row>
    <row r="15" spans="1:13">
      <c r="A15">
        <v>2703</v>
      </c>
      <c r="B15">
        <v>2835</v>
      </c>
      <c r="C15">
        <v>5381</v>
      </c>
      <c r="H15" t="s">
        <v>146</v>
      </c>
      <c r="I15">
        <v>2042</v>
      </c>
      <c r="J15" t="s">
        <v>146</v>
      </c>
      <c r="K15">
        <v>1951</v>
      </c>
      <c r="L15" t="s">
        <v>146</v>
      </c>
      <c r="M15">
        <v>1232</v>
      </c>
    </row>
    <row r="16" spans="1:13">
      <c r="A16">
        <v>6220</v>
      </c>
      <c r="B16">
        <v>2613</v>
      </c>
      <c r="C16">
        <v>3441</v>
      </c>
      <c r="H16" t="s">
        <v>147</v>
      </c>
      <c r="I16">
        <v>19701</v>
      </c>
      <c r="J16" t="s">
        <v>147</v>
      </c>
      <c r="K16">
        <v>19502</v>
      </c>
      <c r="L16" t="s">
        <v>147</v>
      </c>
      <c r="M16">
        <v>19537</v>
      </c>
    </row>
    <row r="17" spans="1:13">
      <c r="A17">
        <v>3038</v>
      </c>
      <c r="B17">
        <v>2566</v>
      </c>
      <c r="C17">
        <v>13458</v>
      </c>
      <c r="H17" t="s">
        <v>67</v>
      </c>
      <c r="I17">
        <v>369608</v>
      </c>
      <c r="J17" t="s">
        <v>67</v>
      </c>
      <c r="K17">
        <v>280248</v>
      </c>
      <c r="L17" t="s">
        <v>67</v>
      </c>
      <c r="M17">
        <v>248796</v>
      </c>
    </row>
    <row r="18" spans="1:13">
      <c r="A18">
        <v>13245</v>
      </c>
      <c r="B18">
        <v>4257</v>
      </c>
      <c r="C18">
        <v>2406</v>
      </c>
      <c r="H18" t="s">
        <v>66</v>
      </c>
      <c r="I18">
        <v>48</v>
      </c>
      <c r="J18" t="s">
        <v>66</v>
      </c>
      <c r="K18">
        <v>34</v>
      </c>
      <c r="L18" t="s">
        <v>66</v>
      </c>
      <c r="M18">
        <v>38</v>
      </c>
    </row>
    <row r="19" spans="1:13">
      <c r="A19">
        <v>5126</v>
      </c>
      <c r="B19">
        <v>3815</v>
      </c>
      <c r="C19">
        <v>2501</v>
      </c>
    </row>
    <row r="20" spans="1:13">
      <c r="A20">
        <v>2075</v>
      </c>
      <c r="B20">
        <v>2328</v>
      </c>
      <c r="C20">
        <v>13664</v>
      </c>
    </row>
    <row r="21" spans="1:13">
      <c r="A21">
        <v>13549</v>
      </c>
      <c r="B21">
        <v>12185</v>
      </c>
      <c r="C21">
        <v>2859</v>
      </c>
    </row>
    <row r="22" spans="1:13">
      <c r="A22">
        <v>2042</v>
      </c>
      <c r="B22">
        <v>13675</v>
      </c>
      <c r="C22">
        <v>2956</v>
      </c>
    </row>
    <row r="23" spans="1:13">
      <c r="A23">
        <v>18172</v>
      </c>
      <c r="B23">
        <v>2593</v>
      </c>
      <c r="C23">
        <v>2926</v>
      </c>
    </row>
    <row r="24" spans="1:13">
      <c r="A24">
        <v>2889</v>
      </c>
      <c r="B24">
        <v>19436</v>
      </c>
      <c r="C24">
        <v>4809</v>
      </c>
      <c r="H24" s="66" t="s">
        <v>63</v>
      </c>
    </row>
    <row r="25" spans="1:13">
      <c r="A25">
        <v>2774</v>
      </c>
      <c r="B25">
        <v>13603</v>
      </c>
      <c r="C25">
        <v>2871</v>
      </c>
    </row>
    <row r="26" spans="1:13" ht="16" thickBot="1">
      <c r="A26">
        <v>4963</v>
      </c>
      <c r="B26">
        <v>19144</v>
      </c>
      <c r="C26">
        <v>6074</v>
      </c>
      <c r="H26" t="s">
        <v>64</v>
      </c>
    </row>
    <row r="27" spans="1:13">
      <c r="A27">
        <v>2368</v>
      </c>
      <c r="B27">
        <v>3161</v>
      </c>
      <c r="C27">
        <v>19537</v>
      </c>
      <c r="H27" s="72" t="s">
        <v>65</v>
      </c>
      <c r="I27" s="72" t="s">
        <v>66</v>
      </c>
      <c r="J27" s="72" t="s">
        <v>67</v>
      </c>
      <c r="K27" s="72" t="s">
        <v>68</v>
      </c>
      <c r="L27" s="72" t="s">
        <v>69</v>
      </c>
    </row>
    <row r="28" spans="1:13">
      <c r="A28">
        <v>3346</v>
      </c>
      <c r="B28">
        <v>2373</v>
      </c>
      <c r="C28">
        <v>4739</v>
      </c>
      <c r="H28" t="s">
        <v>60</v>
      </c>
      <c r="I28">
        <v>48</v>
      </c>
      <c r="J28">
        <v>369608</v>
      </c>
      <c r="K28" s="24">
        <v>7700.166666666667</v>
      </c>
      <c r="L28">
        <v>41196980.099290773</v>
      </c>
    </row>
    <row r="29" spans="1:13">
      <c r="A29">
        <v>3058</v>
      </c>
      <c r="B29">
        <v>11510</v>
      </c>
      <c r="C29">
        <v>3452</v>
      </c>
      <c r="H29" t="s">
        <v>61</v>
      </c>
      <c r="I29">
        <v>34</v>
      </c>
      <c r="J29">
        <v>280248</v>
      </c>
      <c r="K29" s="24">
        <v>8242.5882352941171</v>
      </c>
      <c r="L29">
        <v>42676293.15864528</v>
      </c>
    </row>
    <row r="30" spans="1:13" ht="16" thickBot="1">
      <c r="A30">
        <v>3929</v>
      </c>
      <c r="B30">
        <v>14336</v>
      </c>
      <c r="C30">
        <v>4317</v>
      </c>
      <c r="H30" s="22" t="s">
        <v>62</v>
      </c>
      <c r="I30" s="22">
        <v>38</v>
      </c>
      <c r="J30" s="22">
        <v>248796</v>
      </c>
      <c r="K30" s="70">
        <v>6547.2631578947367</v>
      </c>
      <c r="L30" s="22">
        <v>33974727.71266003</v>
      </c>
    </row>
    <row r="31" spans="1:13">
      <c r="A31">
        <v>3564</v>
      </c>
      <c r="B31">
        <v>16184</v>
      </c>
      <c r="C31">
        <v>18722</v>
      </c>
    </row>
    <row r="32" spans="1:13">
      <c r="A32">
        <v>2741</v>
      </c>
      <c r="B32">
        <v>19502</v>
      </c>
      <c r="C32">
        <v>2657</v>
      </c>
    </row>
    <row r="33" spans="1:14" ht="16" thickBot="1">
      <c r="A33">
        <v>12490</v>
      </c>
      <c r="B33">
        <v>16627</v>
      </c>
      <c r="C33">
        <v>2389</v>
      </c>
      <c r="H33" t="s">
        <v>70</v>
      </c>
    </row>
    <row r="34" spans="1:14">
      <c r="A34">
        <v>2436</v>
      </c>
      <c r="B34">
        <v>12808</v>
      </c>
      <c r="C34">
        <v>3730</v>
      </c>
      <c r="H34" s="72" t="s">
        <v>71</v>
      </c>
      <c r="I34" s="72" t="s">
        <v>72</v>
      </c>
      <c r="J34" s="72" t="s">
        <v>73</v>
      </c>
      <c r="K34" s="72" t="s">
        <v>74</v>
      </c>
      <c r="L34" s="72" t="s">
        <v>75</v>
      </c>
      <c r="M34" s="72" t="s">
        <v>76</v>
      </c>
      <c r="N34" s="72" t="s">
        <v>77</v>
      </c>
    </row>
    <row r="35" spans="1:14">
      <c r="A35">
        <v>17584</v>
      </c>
      <c r="B35">
        <v>19049</v>
      </c>
      <c r="C35">
        <v>18665</v>
      </c>
      <c r="H35" t="s">
        <v>78</v>
      </c>
      <c r="I35" s="71">
        <v>55149811.196284294</v>
      </c>
      <c r="J35">
        <v>2</v>
      </c>
      <c r="K35">
        <v>27574905.598142147</v>
      </c>
      <c r="L35" s="24">
        <v>0.70111166654821255</v>
      </c>
      <c r="M35" s="24">
        <v>0.49810539431460499</v>
      </c>
      <c r="N35" s="24">
        <v>3.0737629044497123</v>
      </c>
    </row>
    <row r="36" spans="1:14">
      <c r="A36">
        <v>5415</v>
      </c>
      <c r="C36">
        <v>15992</v>
      </c>
      <c r="H36" t="s">
        <v>79</v>
      </c>
      <c r="I36">
        <v>4601640664.2703819</v>
      </c>
      <c r="J36">
        <v>117</v>
      </c>
      <c r="K36">
        <v>39330262.087781042</v>
      </c>
    </row>
    <row r="37" spans="1:14">
      <c r="A37">
        <v>12061</v>
      </c>
      <c r="C37">
        <v>11159</v>
      </c>
    </row>
    <row r="38" spans="1:14" ht="16" thickBot="1">
      <c r="A38">
        <v>18300</v>
      </c>
      <c r="C38">
        <v>19246</v>
      </c>
      <c r="H38" s="22" t="s">
        <v>80</v>
      </c>
      <c r="I38" s="22">
        <v>4656790475.4666662</v>
      </c>
      <c r="J38" s="22">
        <v>119</v>
      </c>
      <c r="K38" s="22"/>
      <c r="L38" s="22"/>
      <c r="M38" s="22"/>
      <c r="N38" s="22"/>
    </row>
    <row r="39" spans="1:14">
      <c r="A39">
        <v>2119</v>
      </c>
      <c r="C39">
        <v>14411</v>
      </c>
    </row>
    <row r="40" spans="1:14">
      <c r="A40">
        <v>2213</v>
      </c>
    </row>
    <row r="41" spans="1:14">
      <c r="A41">
        <v>19406</v>
      </c>
    </row>
    <row r="42" spans="1:14">
      <c r="A42">
        <v>11935</v>
      </c>
    </row>
    <row r="43" spans="1:14">
      <c r="A43">
        <v>17861</v>
      </c>
    </row>
    <row r="44" spans="1:14">
      <c r="A44">
        <v>14814</v>
      </c>
    </row>
    <row r="45" spans="1:14">
      <c r="A45">
        <v>11416</v>
      </c>
    </row>
    <row r="46" spans="1:14">
      <c r="A46">
        <v>19237</v>
      </c>
    </row>
    <row r="47" spans="1:14">
      <c r="A47">
        <v>13191</v>
      </c>
    </row>
    <row r="48" spans="1:14">
      <c r="A48">
        <v>16880</v>
      </c>
    </row>
    <row r="49" spans="1:1">
      <c r="A49">
        <v>19701</v>
      </c>
    </row>
  </sheetData>
  <mergeCells count="1">
    <mergeCell ref="H4:M4"/>
  </mergeCells>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26CD6-3103-3E47-8B3C-0AE11A19E8DE}">
  <dimension ref="A1:N121"/>
  <sheetViews>
    <sheetView topLeftCell="A36" zoomScale="86" workbookViewId="0">
      <selection activeCell="D13" sqref="D13"/>
    </sheetView>
  </sheetViews>
  <sheetFormatPr baseColWidth="10" defaultRowHeight="15"/>
  <cols>
    <col min="1" max="1" width="13.6640625" customWidth="1"/>
    <col min="2" max="2" width="22.33203125" customWidth="1"/>
    <col min="6" max="6" width="46.6640625" bestFit="1" customWidth="1"/>
    <col min="7" max="7" width="24.6640625" customWidth="1"/>
    <col min="8" max="8" width="24.1640625" customWidth="1"/>
    <col min="9" max="9" width="22.1640625" customWidth="1"/>
    <col min="10" max="10" width="15.6640625" bestFit="1" customWidth="1"/>
    <col min="11" max="11" width="10" bestFit="1" customWidth="1"/>
    <col min="12" max="12" width="14.5" customWidth="1"/>
    <col min="13" max="13" width="17" customWidth="1"/>
    <col min="14" max="14" width="16" customWidth="1"/>
  </cols>
  <sheetData>
    <row r="1" spans="1:10">
      <c r="A1" t="s">
        <v>1</v>
      </c>
      <c r="B1" t="s">
        <v>4</v>
      </c>
    </row>
    <row r="2" spans="1:10">
      <c r="A2" t="s">
        <v>14</v>
      </c>
      <c r="B2" t="s">
        <v>16</v>
      </c>
    </row>
    <row r="3" spans="1:10">
      <c r="A3" t="s">
        <v>11</v>
      </c>
      <c r="B3" t="s">
        <v>18</v>
      </c>
    </row>
    <row r="4" spans="1:10">
      <c r="A4" t="s">
        <v>14</v>
      </c>
      <c r="B4" t="s">
        <v>16</v>
      </c>
    </row>
    <row r="5" spans="1:10">
      <c r="A5" t="s">
        <v>14</v>
      </c>
      <c r="B5" t="s">
        <v>18</v>
      </c>
    </row>
    <row r="6" spans="1:10">
      <c r="A6" t="s">
        <v>14</v>
      </c>
      <c r="B6" t="s">
        <v>18</v>
      </c>
      <c r="F6" s="26" t="s">
        <v>85</v>
      </c>
      <c r="G6" s="26" t="s">
        <v>84</v>
      </c>
    </row>
    <row r="7" spans="1:10">
      <c r="A7" t="s">
        <v>14</v>
      </c>
      <c r="B7" t="s">
        <v>18</v>
      </c>
      <c r="F7" s="26" t="s">
        <v>82</v>
      </c>
      <c r="G7" t="s">
        <v>18</v>
      </c>
      <c r="H7" t="s">
        <v>20</v>
      </c>
      <c r="I7" t="s">
        <v>16</v>
      </c>
      <c r="J7" t="s">
        <v>83</v>
      </c>
    </row>
    <row r="8" spans="1:10">
      <c r="A8" t="s">
        <v>14</v>
      </c>
      <c r="B8" t="s">
        <v>18</v>
      </c>
      <c r="F8" s="27" t="s">
        <v>14</v>
      </c>
      <c r="G8">
        <v>28</v>
      </c>
      <c r="H8">
        <v>38</v>
      </c>
      <c r="I8">
        <v>33</v>
      </c>
      <c r="J8">
        <v>99</v>
      </c>
    </row>
    <row r="9" spans="1:10">
      <c r="A9" t="s">
        <v>14</v>
      </c>
      <c r="B9" t="s">
        <v>18</v>
      </c>
      <c r="F9" s="27" t="s">
        <v>11</v>
      </c>
      <c r="G9">
        <v>12</v>
      </c>
      <c r="H9">
        <v>2</v>
      </c>
      <c r="I9">
        <v>7</v>
      </c>
      <c r="J9">
        <v>21</v>
      </c>
    </row>
    <row r="10" spans="1:10">
      <c r="A10" t="s">
        <v>14</v>
      </c>
      <c r="B10" t="s">
        <v>18</v>
      </c>
      <c r="F10" s="27" t="s">
        <v>83</v>
      </c>
      <c r="G10">
        <v>40</v>
      </c>
      <c r="H10">
        <v>40</v>
      </c>
      <c r="I10">
        <v>40</v>
      </c>
      <c r="J10">
        <v>120</v>
      </c>
    </row>
    <row r="11" spans="1:10">
      <c r="A11" t="s">
        <v>14</v>
      </c>
      <c r="B11" t="s">
        <v>16</v>
      </c>
    </row>
    <row r="12" spans="1:10">
      <c r="A12" t="s">
        <v>14</v>
      </c>
      <c r="B12" t="s">
        <v>18</v>
      </c>
    </row>
    <row r="13" spans="1:10">
      <c r="A13" t="s">
        <v>11</v>
      </c>
      <c r="B13" t="s">
        <v>18</v>
      </c>
    </row>
    <row r="14" spans="1:10">
      <c r="A14" t="s">
        <v>14</v>
      </c>
      <c r="B14" t="s">
        <v>16</v>
      </c>
    </row>
    <row r="15" spans="1:10">
      <c r="A15" t="s">
        <v>14</v>
      </c>
      <c r="B15" t="s">
        <v>18</v>
      </c>
    </row>
    <row r="16" spans="1:10">
      <c r="A16" t="s">
        <v>14</v>
      </c>
      <c r="B16" t="s">
        <v>16</v>
      </c>
    </row>
    <row r="17" spans="1:14">
      <c r="A17" t="s">
        <v>14</v>
      </c>
      <c r="B17" t="s">
        <v>20</v>
      </c>
    </row>
    <row r="18" spans="1:14">
      <c r="A18" t="s">
        <v>14</v>
      </c>
      <c r="B18" t="s">
        <v>16</v>
      </c>
    </row>
    <row r="19" spans="1:14">
      <c r="A19" t="s">
        <v>11</v>
      </c>
      <c r="B19" t="s">
        <v>16</v>
      </c>
    </row>
    <row r="20" spans="1:14">
      <c r="A20" t="s">
        <v>11</v>
      </c>
      <c r="B20" t="s">
        <v>16</v>
      </c>
    </row>
    <row r="21" spans="1:14">
      <c r="A21" t="s">
        <v>14</v>
      </c>
      <c r="B21" t="s">
        <v>18</v>
      </c>
    </row>
    <row r="22" spans="1:14">
      <c r="A22" t="s">
        <v>14</v>
      </c>
      <c r="B22" t="s">
        <v>18</v>
      </c>
    </row>
    <row r="23" spans="1:14">
      <c r="A23" t="s">
        <v>11</v>
      </c>
      <c r="B23" t="s">
        <v>16</v>
      </c>
      <c r="F23" s="29" t="s">
        <v>86</v>
      </c>
      <c r="G23" s="30"/>
      <c r="H23" s="30"/>
      <c r="I23" s="30"/>
      <c r="J23" s="30"/>
      <c r="K23" s="30"/>
      <c r="L23" s="30"/>
      <c r="M23" s="30"/>
      <c r="N23" s="30"/>
    </row>
    <row r="24" spans="1:14">
      <c r="A24" t="s">
        <v>14</v>
      </c>
      <c r="B24" t="s">
        <v>16</v>
      </c>
      <c r="F24" s="30"/>
      <c r="G24" s="30"/>
      <c r="H24" s="30"/>
      <c r="I24" s="30"/>
      <c r="J24" s="30"/>
      <c r="K24" s="30"/>
      <c r="L24" s="30"/>
      <c r="M24" s="30"/>
      <c r="N24" s="30"/>
    </row>
    <row r="25" spans="1:14">
      <c r="A25" t="s">
        <v>14</v>
      </c>
      <c r="B25" t="s">
        <v>16</v>
      </c>
      <c r="F25" s="110" t="s">
        <v>87</v>
      </c>
      <c r="G25" s="110"/>
      <c r="H25" s="110"/>
      <c r="I25" s="110"/>
      <c r="J25" s="110"/>
      <c r="K25" s="30"/>
      <c r="L25" s="30"/>
      <c r="M25" s="30"/>
      <c r="N25" s="30"/>
    </row>
    <row r="26" spans="1:14">
      <c r="A26" t="s">
        <v>14</v>
      </c>
      <c r="B26" t="s">
        <v>18</v>
      </c>
      <c r="F26" s="31"/>
      <c r="G26" s="111" t="s">
        <v>88</v>
      </c>
      <c r="H26" s="112"/>
      <c r="I26" s="112"/>
      <c r="J26" s="113"/>
      <c r="K26" s="30"/>
      <c r="L26" s="30" t="s">
        <v>89</v>
      </c>
      <c r="M26" s="30"/>
      <c r="N26" s="30"/>
    </row>
    <row r="27" spans="1:14">
      <c r="A27" t="s">
        <v>14</v>
      </c>
      <c r="B27" t="s">
        <v>18</v>
      </c>
      <c r="F27" s="32" t="s">
        <v>90</v>
      </c>
      <c r="G27" s="28" t="s">
        <v>18</v>
      </c>
      <c r="H27" s="28" t="s">
        <v>20</v>
      </c>
      <c r="I27" s="28" t="s">
        <v>16</v>
      </c>
      <c r="J27" s="33" t="s">
        <v>80</v>
      </c>
      <c r="K27" s="30"/>
      <c r="L27" s="109" t="s">
        <v>91</v>
      </c>
      <c r="M27" s="109"/>
      <c r="N27" s="109"/>
    </row>
    <row r="28" spans="1:14">
      <c r="A28" t="s">
        <v>11</v>
      </c>
      <c r="B28" t="s">
        <v>18</v>
      </c>
      <c r="F28" s="27" t="s">
        <v>14</v>
      </c>
      <c r="G28">
        <v>28</v>
      </c>
      <c r="H28">
        <v>38</v>
      </c>
      <c r="I28">
        <v>33</v>
      </c>
      <c r="J28" s="35">
        <f>SUM(G28:I28)</f>
        <v>99</v>
      </c>
      <c r="K28" s="30"/>
      <c r="L28" s="36">
        <f t="shared" ref="L28:N29" si="0">G28 - G35</f>
        <v>-5</v>
      </c>
      <c r="M28" s="36">
        <f t="shared" si="0"/>
        <v>5</v>
      </c>
      <c r="N28" s="30">
        <f t="shared" si="0"/>
        <v>0</v>
      </c>
    </row>
    <row r="29" spans="1:14">
      <c r="A29" t="s">
        <v>14</v>
      </c>
      <c r="B29" t="s">
        <v>18</v>
      </c>
      <c r="F29" s="27" t="s">
        <v>11</v>
      </c>
      <c r="G29">
        <v>12</v>
      </c>
      <c r="H29">
        <v>2</v>
      </c>
      <c r="I29">
        <v>7</v>
      </c>
      <c r="J29" s="35">
        <f>SUM(G29:I29)</f>
        <v>21</v>
      </c>
      <c r="K29" s="30"/>
      <c r="L29" s="36">
        <f t="shared" si="0"/>
        <v>5</v>
      </c>
      <c r="M29" s="36">
        <f t="shared" si="0"/>
        <v>-5</v>
      </c>
      <c r="N29" s="30">
        <f t="shared" si="0"/>
        <v>0</v>
      </c>
    </row>
    <row r="30" spans="1:14">
      <c r="A30" t="s">
        <v>11</v>
      </c>
      <c r="B30" t="s">
        <v>20</v>
      </c>
      <c r="F30" s="37" t="s">
        <v>80</v>
      </c>
      <c r="G30" s="35">
        <f>SUM(G28:G29)</f>
        <v>40</v>
      </c>
      <c r="H30" s="35">
        <f>SUM(H28:H29)</f>
        <v>40</v>
      </c>
      <c r="I30" s="35">
        <f>SUM(I28:I29)</f>
        <v>40</v>
      </c>
      <c r="J30" s="35">
        <f>SUM(G30:I30)</f>
        <v>120</v>
      </c>
      <c r="K30" s="30"/>
      <c r="L30" s="30"/>
      <c r="M30" s="30"/>
      <c r="N30" s="30"/>
    </row>
    <row r="31" spans="1:14">
      <c r="A31" t="s">
        <v>14</v>
      </c>
      <c r="B31" t="s">
        <v>16</v>
      </c>
      <c r="F31" s="30"/>
      <c r="G31" s="30"/>
      <c r="H31" s="30"/>
      <c r="I31" s="30"/>
      <c r="J31" s="30"/>
      <c r="K31" s="30"/>
      <c r="L31" s="30"/>
      <c r="M31" s="30"/>
      <c r="N31" s="30"/>
    </row>
    <row r="32" spans="1:14">
      <c r="A32" t="s">
        <v>14</v>
      </c>
      <c r="B32" t="s">
        <v>18</v>
      </c>
      <c r="F32" s="114" t="s">
        <v>92</v>
      </c>
      <c r="G32" s="114"/>
      <c r="H32" s="114"/>
      <c r="I32" s="114"/>
      <c r="J32" s="114"/>
      <c r="K32" s="30"/>
      <c r="L32" s="30"/>
      <c r="M32" s="30"/>
      <c r="N32" s="30"/>
    </row>
    <row r="33" spans="1:14">
      <c r="A33" t="s">
        <v>11</v>
      </c>
      <c r="B33" t="s">
        <v>18</v>
      </c>
      <c r="F33" s="31"/>
      <c r="G33" s="115" t="str">
        <f>G26</f>
        <v>Column variable</v>
      </c>
      <c r="H33" s="116"/>
      <c r="I33" s="117"/>
      <c r="J33" s="35"/>
      <c r="K33" s="30"/>
      <c r="L33" s="30"/>
      <c r="M33" s="30"/>
      <c r="N33" s="30"/>
    </row>
    <row r="34" spans="1:14">
      <c r="A34" t="s">
        <v>11</v>
      </c>
      <c r="B34" t="s">
        <v>18</v>
      </c>
      <c r="F34" s="33" t="str">
        <f>F27</f>
        <v>Row variable</v>
      </c>
      <c r="G34" s="38" t="str">
        <f>G27</f>
        <v>Laboratory Technician</v>
      </c>
      <c r="H34" s="38" t="str">
        <f>H27</f>
        <v>Research Director</v>
      </c>
      <c r="I34" s="38" t="str">
        <f>I27</f>
        <v>Research Scientist</v>
      </c>
      <c r="J34" s="38" t="s">
        <v>80</v>
      </c>
      <c r="K34" s="30"/>
      <c r="L34" s="109" t="s">
        <v>93</v>
      </c>
      <c r="M34" s="109"/>
      <c r="N34" s="109"/>
    </row>
    <row r="35" spans="1:14">
      <c r="A35" t="s">
        <v>14</v>
      </c>
      <c r="B35" t="s">
        <v>20</v>
      </c>
      <c r="F35" s="37" t="str">
        <f>F28</f>
        <v>No</v>
      </c>
      <c r="G35" s="39">
        <f>J28 * G30/J30</f>
        <v>33</v>
      </c>
      <c r="H35" s="39">
        <f>J28 * H30/J30</f>
        <v>33</v>
      </c>
      <c r="I35" s="35">
        <f>J28 * I30/J30</f>
        <v>33</v>
      </c>
      <c r="J35" s="35">
        <f>SUM(G35:I35)</f>
        <v>99</v>
      </c>
      <c r="K35" s="30"/>
      <c r="L35" s="36">
        <f t="shared" ref="L35:N36" si="1">L28^2/G35</f>
        <v>0.75757575757575757</v>
      </c>
      <c r="M35" s="36">
        <f t="shared" si="1"/>
        <v>0.75757575757575757</v>
      </c>
      <c r="N35" s="36">
        <f t="shared" si="1"/>
        <v>0</v>
      </c>
    </row>
    <row r="36" spans="1:14">
      <c r="A36" t="s">
        <v>14</v>
      </c>
      <c r="B36" t="s">
        <v>18</v>
      </c>
      <c r="F36" s="37" t="str">
        <f>F29</f>
        <v>Yes</v>
      </c>
      <c r="G36" s="39">
        <f>J29 * G30/J30</f>
        <v>7</v>
      </c>
      <c r="H36" s="39">
        <f>J29 * H30/J30</f>
        <v>7</v>
      </c>
      <c r="I36" s="35">
        <f>J29 * I30/J30</f>
        <v>7</v>
      </c>
      <c r="J36" s="35">
        <f>SUM(G36:I36)</f>
        <v>21</v>
      </c>
      <c r="K36" s="30"/>
      <c r="L36" s="36">
        <f t="shared" si="1"/>
        <v>3.5714285714285716</v>
      </c>
      <c r="M36" s="36">
        <f t="shared" si="1"/>
        <v>3.5714285714285716</v>
      </c>
      <c r="N36" s="36">
        <f t="shared" si="1"/>
        <v>0</v>
      </c>
    </row>
    <row r="37" spans="1:14">
      <c r="A37" t="s">
        <v>14</v>
      </c>
      <c r="B37" t="s">
        <v>18</v>
      </c>
      <c r="F37" s="37" t="s">
        <v>80</v>
      </c>
      <c r="G37" s="35">
        <f>SUM(G35:G36)</f>
        <v>40</v>
      </c>
      <c r="H37" s="35">
        <f>SUM(H35:H36)</f>
        <v>40</v>
      </c>
      <c r="I37" s="35">
        <f>SUM(I35:I36)</f>
        <v>40</v>
      </c>
      <c r="J37" s="35">
        <f>SUM(G37:I37)</f>
        <v>120</v>
      </c>
      <c r="K37" s="30"/>
      <c r="L37" s="30"/>
      <c r="M37" s="30"/>
      <c r="N37" s="30"/>
    </row>
    <row r="38" spans="1:14">
      <c r="A38" t="s">
        <v>14</v>
      </c>
      <c r="B38" t="s">
        <v>18</v>
      </c>
      <c r="F38" s="30"/>
      <c r="G38" s="30"/>
      <c r="H38" s="30"/>
      <c r="I38" s="30"/>
      <c r="J38" s="30"/>
      <c r="K38" s="30"/>
      <c r="L38" s="30"/>
      <c r="M38" s="30"/>
      <c r="N38" s="30"/>
    </row>
    <row r="39" spans="1:14">
      <c r="A39" t="s">
        <v>14</v>
      </c>
      <c r="B39" t="s">
        <v>20</v>
      </c>
      <c r="F39" s="118" t="s">
        <v>94</v>
      </c>
      <c r="G39" s="118"/>
      <c r="H39" s="30"/>
      <c r="I39" s="30"/>
      <c r="J39" s="30"/>
      <c r="K39" s="30"/>
      <c r="L39" s="30"/>
      <c r="M39" s="30"/>
      <c r="N39" s="30"/>
    </row>
    <row r="40" spans="1:14">
      <c r="A40" t="s">
        <v>14</v>
      </c>
      <c r="B40" t="s">
        <v>16</v>
      </c>
      <c r="F40" s="40" t="s">
        <v>95</v>
      </c>
      <c r="G40" s="34">
        <v>0.05</v>
      </c>
      <c r="H40" s="30"/>
      <c r="I40" s="30"/>
      <c r="J40" s="30"/>
      <c r="K40" s="30"/>
      <c r="L40" s="30"/>
      <c r="M40" s="30"/>
      <c r="N40" s="30"/>
    </row>
    <row r="41" spans="1:14">
      <c r="A41" t="s">
        <v>14</v>
      </c>
      <c r="B41" t="s">
        <v>16</v>
      </c>
      <c r="F41" s="41" t="s">
        <v>96</v>
      </c>
      <c r="G41" s="41">
        <v>2</v>
      </c>
      <c r="H41" s="30"/>
      <c r="I41" s="30"/>
      <c r="J41" s="30"/>
      <c r="K41" s="30"/>
      <c r="L41" s="30"/>
      <c r="M41" s="30"/>
      <c r="N41" s="30"/>
    </row>
    <row r="42" spans="1:14">
      <c r="A42" t="s">
        <v>11</v>
      </c>
      <c r="B42" t="s">
        <v>16</v>
      </c>
      <c r="F42" s="41" t="s">
        <v>97</v>
      </c>
      <c r="G42" s="41">
        <v>3</v>
      </c>
      <c r="H42" s="30"/>
      <c r="I42" s="30"/>
      <c r="J42" s="30"/>
      <c r="K42" s="30"/>
      <c r="L42" s="30"/>
      <c r="M42" s="30"/>
      <c r="N42" s="30"/>
    </row>
    <row r="43" spans="1:14">
      <c r="A43" t="s">
        <v>14</v>
      </c>
      <c r="B43" t="s">
        <v>16</v>
      </c>
      <c r="F43" s="41" t="s">
        <v>46</v>
      </c>
      <c r="G43" s="41">
        <f>(G41 - 1) * (G42 - 1)</f>
        <v>2</v>
      </c>
      <c r="H43" s="30"/>
      <c r="I43" s="30"/>
      <c r="J43" s="30"/>
      <c r="K43" s="30"/>
      <c r="L43" s="30"/>
      <c r="M43" s="30"/>
      <c r="N43" s="30"/>
    </row>
    <row r="44" spans="1:14">
      <c r="A44" t="s">
        <v>14</v>
      </c>
      <c r="B44" t="s">
        <v>16</v>
      </c>
      <c r="F44" s="30"/>
      <c r="G44" s="30"/>
      <c r="H44" s="30"/>
      <c r="I44" s="30"/>
      <c r="J44" s="30"/>
      <c r="K44" s="30"/>
      <c r="L44" s="30"/>
      <c r="M44" s="30"/>
      <c r="N44" s="30"/>
    </row>
    <row r="45" spans="1:14">
      <c r="A45" t="s">
        <v>14</v>
      </c>
      <c r="B45" t="s">
        <v>16</v>
      </c>
      <c r="F45" s="119" t="s">
        <v>98</v>
      </c>
      <c r="G45" s="119"/>
      <c r="H45" s="30"/>
      <c r="I45" s="42"/>
      <c r="J45" s="30"/>
      <c r="K45" s="30"/>
      <c r="L45" s="30"/>
      <c r="M45" s="30"/>
      <c r="N45" s="30"/>
    </row>
    <row r="46" spans="1:14">
      <c r="A46" t="s">
        <v>14</v>
      </c>
      <c r="B46" t="s">
        <v>18</v>
      </c>
      <c r="F46" s="43" t="s">
        <v>99</v>
      </c>
      <c r="G46" s="44">
        <f>CHIINV(G40, G43)</f>
        <v>5.9914645471079817</v>
      </c>
      <c r="H46" s="30"/>
      <c r="I46" s="30"/>
      <c r="J46" s="30"/>
      <c r="K46" s="30"/>
      <c r="L46" s="30"/>
      <c r="M46" s="30"/>
      <c r="N46" s="30"/>
    </row>
    <row r="47" spans="1:14">
      <c r="A47" t="s">
        <v>14</v>
      </c>
      <c r="B47" t="s">
        <v>20</v>
      </c>
      <c r="F47" s="43" t="s">
        <v>100</v>
      </c>
      <c r="G47" s="44">
        <f>SUM(L35:N36)</f>
        <v>8.6580086580086579</v>
      </c>
      <c r="H47" s="30"/>
      <c r="I47" s="30"/>
      <c r="J47" s="30"/>
      <c r="K47" s="30"/>
      <c r="L47" s="30"/>
      <c r="M47" s="30"/>
      <c r="N47" s="30"/>
    </row>
    <row r="48" spans="1:14">
      <c r="A48" t="s">
        <v>14</v>
      </c>
      <c r="B48" t="s">
        <v>20</v>
      </c>
      <c r="F48" s="45" t="s">
        <v>101</v>
      </c>
      <c r="G48" s="44">
        <f>CHIDIST(G47, G43)</f>
        <v>1.3180664564261256E-2</v>
      </c>
      <c r="H48" s="30"/>
      <c r="I48" s="30"/>
      <c r="J48" s="30"/>
      <c r="K48" s="30"/>
      <c r="L48" s="30"/>
      <c r="M48" s="30"/>
      <c r="N48" s="30"/>
    </row>
    <row r="49" spans="1:14">
      <c r="A49" t="s">
        <v>14</v>
      </c>
      <c r="B49" t="s">
        <v>18</v>
      </c>
      <c r="F49" s="120" t="str">
        <f>IF(G48&lt;G40, "Reject the null hypothesis", "Do not reject the null hypothesis")</f>
        <v>Reject the null hypothesis</v>
      </c>
      <c r="G49" s="121"/>
      <c r="H49" s="30"/>
      <c r="I49" s="30"/>
      <c r="J49" s="30"/>
      <c r="K49" s="30"/>
      <c r="L49" s="30"/>
      <c r="M49" s="30"/>
      <c r="N49" s="30"/>
    </row>
    <row r="50" spans="1:14">
      <c r="A50" t="s">
        <v>14</v>
      </c>
      <c r="B50" t="s">
        <v>16</v>
      </c>
      <c r="F50" s="30"/>
      <c r="G50" s="30"/>
      <c r="H50" s="30"/>
      <c r="I50" s="30"/>
      <c r="J50" s="30"/>
      <c r="K50" s="30"/>
      <c r="L50" s="30"/>
      <c r="M50" s="30"/>
      <c r="N50" s="30"/>
    </row>
    <row r="51" spans="1:14">
      <c r="A51" t="s">
        <v>14</v>
      </c>
      <c r="B51" t="s">
        <v>16</v>
      </c>
      <c r="F51" s="46" t="s">
        <v>102</v>
      </c>
      <c r="G51" s="30"/>
      <c r="H51" s="30"/>
      <c r="I51" s="30"/>
      <c r="J51" s="30"/>
      <c r="K51" s="30"/>
      <c r="L51" s="30"/>
      <c r="M51" s="30"/>
      <c r="N51" s="30"/>
    </row>
    <row r="52" spans="1:14">
      <c r="A52" t="s">
        <v>14</v>
      </c>
      <c r="B52" t="s">
        <v>18</v>
      </c>
      <c r="F52" s="46" t="str">
        <f>IF(OR(G35&lt;1, H35&lt;1, I35&lt;1, G36&lt;1, H36&lt;1, I36&lt;1), "       is violated.", "       is met.")</f>
        <v xml:space="preserve">       is met.</v>
      </c>
      <c r="G52" s="30"/>
      <c r="H52" s="30"/>
      <c r="I52" s="30"/>
      <c r="J52" s="30"/>
      <c r="K52" s="30"/>
      <c r="L52" s="30"/>
      <c r="M52" s="30"/>
      <c r="N52" s="30"/>
    </row>
    <row r="53" spans="1:14">
      <c r="A53" t="s">
        <v>14</v>
      </c>
      <c r="B53" t="s">
        <v>20</v>
      </c>
      <c r="F53" s="30"/>
      <c r="G53" s="30"/>
      <c r="H53" s="30"/>
      <c r="I53" s="30"/>
      <c r="J53" s="30"/>
      <c r="K53" s="30"/>
      <c r="L53" s="30"/>
      <c r="M53" s="30"/>
      <c r="N53" s="30"/>
    </row>
    <row r="54" spans="1:14" ht="16">
      <c r="A54" t="s">
        <v>14</v>
      </c>
      <c r="B54" t="s">
        <v>18</v>
      </c>
      <c r="F54" s="47" t="s">
        <v>103</v>
      </c>
      <c r="G54" s="30"/>
      <c r="H54" s="30"/>
      <c r="I54" s="30"/>
      <c r="J54" s="30"/>
      <c r="K54" s="30"/>
      <c r="L54" s="30"/>
      <c r="M54" s="30"/>
      <c r="N54" s="30"/>
    </row>
    <row r="55" spans="1:14">
      <c r="A55" t="s">
        <v>14</v>
      </c>
      <c r="B55" t="s">
        <v>16</v>
      </c>
      <c r="F55" s="42"/>
      <c r="G55" s="30"/>
      <c r="H55" s="30"/>
      <c r="I55" s="30"/>
      <c r="J55" s="30"/>
      <c r="K55" s="30"/>
      <c r="L55" s="30"/>
      <c r="M55" s="30"/>
      <c r="N55" s="30"/>
    </row>
    <row r="56" spans="1:14">
      <c r="A56" t="s">
        <v>11</v>
      </c>
      <c r="B56" t="s">
        <v>18</v>
      </c>
      <c r="F56" s="41" t="s">
        <v>95</v>
      </c>
      <c r="G56" s="41">
        <f>G40</f>
        <v>0.05</v>
      </c>
      <c r="H56" s="30"/>
      <c r="I56" s="30"/>
      <c r="J56" s="30"/>
      <c r="K56" s="30"/>
      <c r="L56" s="30"/>
      <c r="M56" s="30"/>
      <c r="N56" s="30"/>
    </row>
    <row r="57" spans="1:14">
      <c r="A57" t="s">
        <v>14</v>
      </c>
      <c r="B57" t="s">
        <v>16</v>
      </c>
      <c r="F57" s="41" t="s">
        <v>104</v>
      </c>
      <c r="G57" s="79">
        <f>SQRT(G46)</f>
        <v>2.4477468306808166</v>
      </c>
      <c r="H57" s="30"/>
      <c r="I57" s="30"/>
      <c r="J57" s="30"/>
      <c r="K57" s="30"/>
      <c r="L57" s="30"/>
      <c r="M57" s="30"/>
      <c r="N57" s="30"/>
    </row>
    <row r="58" spans="1:14">
      <c r="A58" t="s">
        <v>14</v>
      </c>
      <c r="B58" t="s">
        <v>20</v>
      </c>
      <c r="F58" s="30"/>
      <c r="G58" s="30"/>
      <c r="H58" s="30"/>
      <c r="I58" s="30"/>
      <c r="J58" s="30"/>
      <c r="K58" s="30"/>
      <c r="L58" s="30"/>
      <c r="M58" s="30"/>
      <c r="N58" s="30"/>
    </row>
    <row r="59" spans="1:14">
      <c r="A59" t="s">
        <v>14</v>
      </c>
      <c r="B59" t="s">
        <v>16</v>
      </c>
      <c r="F59" s="122" t="s">
        <v>105</v>
      </c>
      <c r="G59" s="122"/>
      <c r="H59" s="30"/>
      <c r="I59" s="30"/>
      <c r="J59" s="30"/>
      <c r="K59" s="30"/>
      <c r="L59" s="30"/>
      <c r="M59" s="30"/>
      <c r="N59" s="30"/>
    </row>
    <row r="60" spans="1:14">
      <c r="A60" t="s">
        <v>14</v>
      </c>
      <c r="B60" t="s">
        <v>18</v>
      </c>
      <c r="F60" s="41" t="str">
        <f>"1: " &amp; G27</f>
        <v>1: Laboratory Technician</v>
      </c>
      <c r="G60" s="79">
        <f>G28/G30</f>
        <v>0.7</v>
      </c>
      <c r="H60" s="30"/>
      <c r="I60" s="30"/>
      <c r="J60" s="30"/>
      <c r="K60" s="30"/>
      <c r="L60" s="30"/>
      <c r="M60" s="30"/>
      <c r="N60" s="30"/>
    </row>
    <row r="61" spans="1:14">
      <c r="A61" t="s">
        <v>11</v>
      </c>
      <c r="B61" t="s">
        <v>18</v>
      </c>
      <c r="F61" s="41" t="str">
        <f>"2: " &amp; H27</f>
        <v>2: Research Director</v>
      </c>
      <c r="G61" s="79">
        <f>H28/H30</f>
        <v>0.95</v>
      </c>
      <c r="H61" s="30"/>
      <c r="I61" s="30"/>
      <c r="J61" s="30"/>
      <c r="K61" s="30"/>
      <c r="L61" s="30"/>
      <c r="M61" s="30"/>
      <c r="N61" s="30"/>
    </row>
    <row r="62" spans="1:14">
      <c r="A62" t="s">
        <v>14</v>
      </c>
      <c r="B62" t="s">
        <v>18</v>
      </c>
      <c r="F62" s="41" t="str">
        <f>"3: " &amp; I27</f>
        <v>3: Research Scientist</v>
      </c>
      <c r="G62" s="79">
        <f>I28/I30</f>
        <v>0.82499999999999996</v>
      </c>
      <c r="H62" s="30"/>
      <c r="I62" s="30"/>
      <c r="J62" s="30"/>
      <c r="K62" s="30"/>
      <c r="L62" s="30"/>
      <c r="M62" s="30"/>
      <c r="N62" s="30"/>
    </row>
    <row r="63" spans="1:14">
      <c r="A63" t="s">
        <v>14</v>
      </c>
      <c r="B63" t="s">
        <v>16</v>
      </c>
      <c r="F63" s="30"/>
      <c r="G63" s="30"/>
      <c r="H63" s="30"/>
      <c r="I63" s="30"/>
      <c r="J63" s="30"/>
      <c r="K63" s="30"/>
      <c r="L63" s="30"/>
      <c r="M63" s="30"/>
      <c r="N63" s="30"/>
    </row>
    <row r="64" spans="1:14">
      <c r="A64" t="s">
        <v>14</v>
      </c>
      <c r="B64" t="s">
        <v>18</v>
      </c>
      <c r="F64" s="119" t="s">
        <v>106</v>
      </c>
      <c r="G64" s="119"/>
      <c r="H64" s="119"/>
      <c r="I64" s="30"/>
      <c r="J64" s="30"/>
      <c r="K64" s="30"/>
      <c r="L64" s="30"/>
      <c r="M64" s="30"/>
      <c r="N64" s="30"/>
    </row>
    <row r="65" spans="1:14">
      <c r="A65" t="s">
        <v>14</v>
      </c>
      <c r="B65" t="s">
        <v>16</v>
      </c>
      <c r="F65" s="43" t="s">
        <v>107</v>
      </c>
      <c r="G65" s="43" t="s">
        <v>108</v>
      </c>
      <c r="H65" s="43" t="s">
        <v>109</v>
      </c>
      <c r="I65" s="30"/>
      <c r="J65" s="30"/>
      <c r="K65" s="30"/>
      <c r="L65" s="30"/>
      <c r="M65" s="30"/>
      <c r="N65" s="30"/>
    </row>
    <row r="66" spans="1:14">
      <c r="A66" t="s">
        <v>11</v>
      </c>
      <c r="B66" t="s">
        <v>16</v>
      </c>
      <c r="F66" s="43" t="s">
        <v>156</v>
      </c>
      <c r="G66" s="80">
        <f>ABS(G60 - G61)</f>
        <v>0.25</v>
      </c>
      <c r="H66" s="44">
        <f>G57 * SQRT(G60 * (1 - G60)/G30+G61 * (1 - G61)/H30)</f>
        <v>0.19639259920375726</v>
      </c>
      <c r="I66" s="30" t="str">
        <f>IF(G66&gt; H66, "Significant", "Not significant")</f>
        <v>Significant</v>
      </c>
      <c r="J66" s="30"/>
      <c r="K66" s="30"/>
      <c r="L66" s="30"/>
      <c r="M66" s="30"/>
      <c r="N66" s="30"/>
    </row>
    <row r="67" spans="1:14">
      <c r="A67" t="s">
        <v>14</v>
      </c>
      <c r="B67" t="s">
        <v>20</v>
      </c>
      <c r="F67" s="43" t="s">
        <v>157</v>
      </c>
      <c r="G67" s="80">
        <f>ABS(G60 - G62)</f>
        <v>0.125</v>
      </c>
      <c r="H67" s="44">
        <f>G57 * SQRT(G60 * (1 - G60)/G30+G62 * (1 - G62)/I30)</f>
        <v>0.23039234193443753</v>
      </c>
      <c r="I67" s="30" t="str">
        <f>IF(G67&gt; H67, "Significant", "Not significant")</f>
        <v>Not significant</v>
      </c>
      <c r="J67" s="30"/>
      <c r="K67" s="30"/>
      <c r="L67" s="30"/>
      <c r="M67" s="30"/>
      <c r="N67" s="30"/>
    </row>
    <row r="68" spans="1:14">
      <c r="A68" t="s">
        <v>14</v>
      </c>
      <c r="B68" t="s">
        <v>16</v>
      </c>
      <c r="F68" s="30"/>
      <c r="G68" s="36"/>
      <c r="H68" s="36"/>
      <c r="I68" s="30"/>
      <c r="J68" s="30"/>
      <c r="K68" s="30"/>
      <c r="L68" s="30"/>
      <c r="M68" s="30"/>
      <c r="N68" s="30"/>
    </row>
    <row r="69" spans="1:14">
      <c r="A69" t="s">
        <v>14</v>
      </c>
      <c r="B69" t="s">
        <v>16</v>
      </c>
      <c r="F69" s="43" t="s">
        <v>158</v>
      </c>
      <c r="G69" s="80">
        <f>ABS(G61 - G62)</f>
        <v>0.125</v>
      </c>
      <c r="H69" s="44">
        <f>G57 * SQRT(G61 * (1 - G61)/H30+G62 * (1 - G62)/I30)</f>
        <v>0.16952966259451061</v>
      </c>
      <c r="I69" s="30" t="str">
        <f>IF(G69&gt; H69, "Significant", "Not significant")</f>
        <v>Not significant</v>
      </c>
      <c r="J69" s="30"/>
      <c r="K69" s="30"/>
      <c r="L69" s="30"/>
      <c r="M69" s="30"/>
      <c r="N69" s="30"/>
    </row>
    <row r="70" spans="1:14">
      <c r="A70" t="s">
        <v>14</v>
      </c>
      <c r="B70" t="s">
        <v>16</v>
      </c>
    </row>
    <row r="71" spans="1:14">
      <c r="A71" t="s">
        <v>14</v>
      </c>
      <c r="B71" t="s">
        <v>16</v>
      </c>
    </row>
    <row r="72" spans="1:14">
      <c r="A72" t="s">
        <v>14</v>
      </c>
      <c r="B72" t="s">
        <v>16</v>
      </c>
    </row>
    <row r="73" spans="1:14">
      <c r="A73" t="s">
        <v>14</v>
      </c>
      <c r="B73" t="s">
        <v>16</v>
      </c>
    </row>
    <row r="74" spans="1:14">
      <c r="A74" t="s">
        <v>14</v>
      </c>
      <c r="B74" t="s">
        <v>16</v>
      </c>
    </row>
    <row r="75" spans="1:14">
      <c r="A75" t="s">
        <v>14</v>
      </c>
      <c r="B75" t="s">
        <v>16</v>
      </c>
    </row>
    <row r="76" spans="1:14">
      <c r="A76" t="s">
        <v>14</v>
      </c>
      <c r="B76" t="s">
        <v>16</v>
      </c>
    </row>
    <row r="77" spans="1:14">
      <c r="A77" t="s">
        <v>14</v>
      </c>
      <c r="B77" t="s">
        <v>20</v>
      </c>
    </row>
    <row r="78" spans="1:14">
      <c r="A78" t="s">
        <v>14</v>
      </c>
      <c r="B78" t="s">
        <v>16</v>
      </c>
    </row>
    <row r="79" spans="1:14">
      <c r="A79" t="s">
        <v>14</v>
      </c>
      <c r="B79" t="s">
        <v>16</v>
      </c>
    </row>
    <row r="80" spans="1:14">
      <c r="A80" t="s">
        <v>14</v>
      </c>
      <c r="B80" t="s">
        <v>18</v>
      </c>
    </row>
    <row r="81" spans="1:2">
      <c r="A81" t="s">
        <v>14</v>
      </c>
      <c r="B81" t="s">
        <v>16</v>
      </c>
    </row>
    <row r="82" spans="1:2">
      <c r="A82" t="s">
        <v>14</v>
      </c>
      <c r="B82" t="s">
        <v>20</v>
      </c>
    </row>
    <row r="83" spans="1:2">
      <c r="A83" t="s">
        <v>11</v>
      </c>
      <c r="B83" t="s">
        <v>16</v>
      </c>
    </row>
    <row r="84" spans="1:2">
      <c r="A84" t="s">
        <v>14</v>
      </c>
      <c r="B84" t="s">
        <v>20</v>
      </c>
    </row>
    <row r="85" spans="1:2">
      <c r="A85" t="s">
        <v>11</v>
      </c>
      <c r="B85" t="s">
        <v>16</v>
      </c>
    </row>
    <row r="86" spans="1:2">
      <c r="A86" t="s">
        <v>11</v>
      </c>
      <c r="B86" t="s">
        <v>18</v>
      </c>
    </row>
    <row r="87" spans="1:2">
      <c r="A87" t="s">
        <v>11</v>
      </c>
      <c r="B87" t="s">
        <v>18</v>
      </c>
    </row>
    <row r="88" spans="1:2">
      <c r="A88" t="s">
        <v>14</v>
      </c>
      <c r="B88" t="s">
        <v>20</v>
      </c>
    </row>
    <row r="89" spans="1:2">
      <c r="A89" t="s">
        <v>14</v>
      </c>
      <c r="B89" t="s">
        <v>18</v>
      </c>
    </row>
    <row r="90" spans="1:2">
      <c r="A90" t="s">
        <v>14</v>
      </c>
      <c r="B90" t="s">
        <v>20</v>
      </c>
    </row>
    <row r="91" spans="1:2">
      <c r="A91" t="s">
        <v>14</v>
      </c>
      <c r="B91" t="s">
        <v>20</v>
      </c>
    </row>
    <row r="92" spans="1:2">
      <c r="A92" t="s">
        <v>14</v>
      </c>
      <c r="B92" t="s">
        <v>20</v>
      </c>
    </row>
    <row r="93" spans="1:2">
      <c r="A93" t="s">
        <v>14</v>
      </c>
      <c r="B93" t="s">
        <v>20</v>
      </c>
    </row>
    <row r="94" spans="1:2">
      <c r="A94" t="s">
        <v>14</v>
      </c>
      <c r="B94" t="s">
        <v>18</v>
      </c>
    </row>
    <row r="95" spans="1:2">
      <c r="A95" t="s">
        <v>11</v>
      </c>
      <c r="B95" t="s">
        <v>18</v>
      </c>
    </row>
    <row r="96" spans="1:2">
      <c r="A96" t="s">
        <v>11</v>
      </c>
      <c r="B96" t="s">
        <v>18</v>
      </c>
    </row>
    <row r="97" spans="1:2">
      <c r="A97" t="s">
        <v>14</v>
      </c>
      <c r="B97" t="s">
        <v>20</v>
      </c>
    </row>
    <row r="98" spans="1:2">
      <c r="A98" t="s">
        <v>14</v>
      </c>
      <c r="B98" t="s">
        <v>20</v>
      </c>
    </row>
    <row r="99" spans="1:2">
      <c r="A99" t="s">
        <v>14</v>
      </c>
      <c r="B99" t="s">
        <v>20</v>
      </c>
    </row>
    <row r="100" spans="1:2">
      <c r="A100" t="s">
        <v>11</v>
      </c>
      <c r="B100" t="s">
        <v>18</v>
      </c>
    </row>
    <row r="101" spans="1:2">
      <c r="A101" t="s">
        <v>14</v>
      </c>
      <c r="B101" t="s">
        <v>20</v>
      </c>
    </row>
    <row r="102" spans="1:2">
      <c r="A102" t="s">
        <v>14</v>
      </c>
      <c r="B102" t="s">
        <v>20</v>
      </c>
    </row>
    <row r="103" spans="1:2">
      <c r="A103" t="s">
        <v>14</v>
      </c>
      <c r="B103" t="s">
        <v>18</v>
      </c>
    </row>
    <row r="104" spans="1:2">
      <c r="A104" t="s">
        <v>14</v>
      </c>
      <c r="B104" t="s">
        <v>20</v>
      </c>
    </row>
    <row r="105" spans="1:2">
      <c r="A105" t="s">
        <v>14</v>
      </c>
      <c r="B105" t="s">
        <v>20</v>
      </c>
    </row>
    <row r="106" spans="1:2">
      <c r="A106" t="s">
        <v>14</v>
      </c>
      <c r="B106" t="s">
        <v>20</v>
      </c>
    </row>
    <row r="107" spans="1:2">
      <c r="A107" t="s">
        <v>14</v>
      </c>
      <c r="B107" t="s">
        <v>20</v>
      </c>
    </row>
    <row r="108" spans="1:2">
      <c r="A108" t="s">
        <v>14</v>
      </c>
      <c r="B108" t="s">
        <v>20</v>
      </c>
    </row>
    <row r="109" spans="1:2">
      <c r="A109" t="s">
        <v>14</v>
      </c>
      <c r="B109" t="s">
        <v>20</v>
      </c>
    </row>
    <row r="110" spans="1:2">
      <c r="A110" t="s">
        <v>14</v>
      </c>
      <c r="B110" t="s">
        <v>20</v>
      </c>
    </row>
    <row r="111" spans="1:2">
      <c r="A111" t="s">
        <v>14</v>
      </c>
      <c r="B111" t="s">
        <v>20</v>
      </c>
    </row>
    <row r="112" spans="1:2">
      <c r="A112" t="s">
        <v>14</v>
      </c>
      <c r="B112" t="s">
        <v>20</v>
      </c>
    </row>
    <row r="113" spans="1:2">
      <c r="A113" t="s">
        <v>11</v>
      </c>
      <c r="B113" t="s">
        <v>20</v>
      </c>
    </row>
    <row r="114" spans="1:2">
      <c r="A114" t="s">
        <v>14</v>
      </c>
      <c r="B114" t="s">
        <v>20</v>
      </c>
    </row>
    <row r="115" spans="1:2">
      <c r="A115" t="s">
        <v>14</v>
      </c>
      <c r="B115" t="s">
        <v>20</v>
      </c>
    </row>
    <row r="116" spans="1:2">
      <c r="A116" t="s">
        <v>14</v>
      </c>
      <c r="B116" t="s">
        <v>20</v>
      </c>
    </row>
    <row r="117" spans="1:2">
      <c r="A117" t="s">
        <v>14</v>
      </c>
      <c r="B117" t="s">
        <v>20</v>
      </c>
    </row>
    <row r="118" spans="1:2">
      <c r="A118" t="s">
        <v>14</v>
      </c>
      <c r="B118" t="s">
        <v>20</v>
      </c>
    </row>
    <row r="119" spans="1:2">
      <c r="A119" t="s">
        <v>14</v>
      </c>
      <c r="B119" t="s">
        <v>20</v>
      </c>
    </row>
    <row r="120" spans="1:2">
      <c r="A120" t="s">
        <v>14</v>
      </c>
      <c r="B120" t="s">
        <v>20</v>
      </c>
    </row>
    <row r="121" spans="1:2">
      <c r="A121" t="s">
        <v>14</v>
      </c>
      <c r="B121" t="s">
        <v>20</v>
      </c>
    </row>
  </sheetData>
  <mergeCells count="11">
    <mergeCell ref="F39:G39"/>
    <mergeCell ref="F45:G45"/>
    <mergeCell ref="F49:G49"/>
    <mergeCell ref="F59:G59"/>
    <mergeCell ref="F64:H64"/>
    <mergeCell ref="L34:N34"/>
    <mergeCell ref="F25:J25"/>
    <mergeCell ref="G26:J26"/>
    <mergeCell ref="L27:N27"/>
    <mergeCell ref="F32:J32"/>
    <mergeCell ref="G33:I33"/>
  </mergeCells>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66C8-130C-5740-ADF7-2E1ED7F4F72F}">
  <dimension ref="A1:S121"/>
  <sheetViews>
    <sheetView topLeftCell="B32" zoomScale="90" workbookViewId="0">
      <selection activeCell="Q46" sqref="Q46"/>
    </sheetView>
  </sheetViews>
  <sheetFormatPr baseColWidth="10" defaultRowHeight="15"/>
  <cols>
    <col min="1" max="1" width="25.1640625" customWidth="1"/>
    <col min="2" max="2" width="19.1640625" customWidth="1"/>
    <col min="3" max="3" width="16.83203125" customWidth="1"/>
    <col min="5" max="5" width="20.33203125" customWidth="1"/>
    <col min="6" max="6" width="22.5" customWidth="1"/>
    <col min="8" max="8" width="17.6640625" customWidth="1"/>
    <col min="9" max="9" width="21" customWidth="1"/>
    <col min="10" max="10" width="22.33203125" customWidth="1"/>
    <col min="11" max="11" width="21.1640625" customWidth="1"/>
    <col min="13" max="13" width="29.5" customWidth="1"/>
    <col min="14" max="14" width="19.1640625" customWidth="1"/>
    <col min="15" max="15" width="24" customWidth="1"/>
    <col min="16" max="16" width="16.5" customWidth="1"/>
    <col min="17" max="17" width="14.83203125" customWidth="1"/>
    <col min="18" max="18" width="17.33203125" customWidth="1"/>
  </cols>
  <sheetData>
    <row r="1" spans="1:11">
      <c r="A1" s="48" t="s">
        <v>4</v>
      </c>
      <c r="B1" s="48" t="s">
        <v>5</v>
      </c>
      <c r="C1" s="48" t="s">
        <v>8</v>
      </c>
    </row>
    <row r="2" spans="1:11">
      <c r="A2" t="s">
        <v>16</v>
      </c>
      <c r="B2">
        <v>2</v>
      </c>
      <c r="C2" t="s">
        <v>14</v>
      </c>
    </row>
    <row r="3" spans="1:11">
      <c r="A3" t="s">
        <v>18</v>
      </c>
      <c r="B3">
        <v>3</v>
      </c>
      <c r="C3" t="s">
        <v>11</v>
      </c>
    </row>
    <row r="4" spans="1:11" ht="16" thickBot="1">
      <c r="A4" t="s">
        <v>16</v>
      </c>
      <c r="B4">
        <v>3</v>
      </c>
      <c r="C4" t="s">
        <v>11</v>
      </c>
      <c r="E4" s="123" t="s">
        <v>152</v>
      </c>
      <c r="F4" s="123"/>
      <c r="I4" s="73" t="s">
        <v>16</v>
      </c>
      <c r="J4" s="73" t="s">
        <v>18</v>
      </c>
      <c r="K4" s="73" t="s">
        <v>20</v>
      </c>
    </row>
    <row r="5" spans="1:11" ht="19">
      <c r="A5" t="s">
        <v>18</v>
      </c>
      <c r="B5">
        <v>2</v>
      </c>
      <c r="C5" t="s">
        <v>14</v>
      </c>
      <c r="E5" s="76" t="s">
        <v>5</v>
      </c>
      <c r="F5" s="76" t="s">
        <v>149</v>
      </c>
      <c r="H5" s="74" t="s">
        <v>110</v>
      </c>
      <c r="I5">
        <v>2</v>
      </c>
      <c r="J5">
        <v>2</v>
      </c>
      <c r="K5">
        <v>2</v>
      </c>
    </row>
    <row r="6" spans="1:11">
      <c r="A6" t="s">
        <v>18</v>
      </c>
      <c r="B6">
        <v>4</v>
      </c>
      <c r="C6" t="s">
        <v>14</v>
      </c>
      <c r="E6" t="s">
        <v>137</v>
      </c>
      <c r="F6">
        <v>2.75</v>
      </c>
      <c r="I6">
        <v>3</v>
      </c>
      <c r="J6">
        <v>4</v>
      </c>
      <c r="K6">
        <v>3</v>
      </c>
    </row>
    <row r="7" spans="1:11">
      <c r="A7" t="s">
        <v>18</v>
      </c>
      <c r="B7">
        <v>1</v>
      </c>
      <c r="C7" t="s">
        <v>11</v>
      </c>
      <c r="E7" t="s">
        <v>138</v>
      </c>
      <c r="F7" s="24">
        <v>9.7769236109380361E-2</v>
      </c>
      <c r="I7">
        <v>4</v>
      </c>
      <c r="J7">
        <v>3</v>
      </c>
      <c r="K7">
        <v>3</v>
      </c>
    </row>
    <row r="8" spans="1:11">
      <c r="A8" t="s">
        <v>18</v>
      </c>
      <c r="B8">
        <v>3</v>
      </c>
      <c r="C8" t="s">
        <v>14</v>
      </c>
      <c r="E8" t="s">
        <v>139</v>
      </c>
      <c r="F8">
        <v>3</v>
      </c>
      <c r="I8">
        <v>1</v>
      </c>
      <c r="J8">
        <v>2</v>
      </c>
      <c r="K8">
        <v>3</v>
      </c>
    </row>
    <row r="9" spans="1:11">
      <c r="A9" t="s">
        <v>18</v>
      </c>
      <c r="B9">
        <v>2</v>
      </c>
      <c r="C9" t="s">
        <v>14</v>
      </c>
      <c r="E9" t="s">
        <v>140</v>
      </c>
      <c r="F9">
        <v>3</v>
      </c>
      <c r="I9">
        <v>3</v>
      </c>
      <c r="J9">
        <v>4</v>
      </c>
      <c r="K9">
        <v>3</v>
      </c>
    </row>
    <row r="10" spans="1:11">
      <c r="A10" t="s">
        <v>18</v>
      </c>
      <c r="B10">
        <v>3</v>
      </c>
      <c r="C10" t="s">
        <v>11</v>
      </c>
      <c r="E10" t="s">
        <v>141</v>
      </c>
      <c r="F10" s="24">
        <v>1.0710083209431249</v>
      </c>
      <c r="I10">
        <v>2</v>
      </c>
      <c r="J10">
        <v>4</v>
      </c>
      <c r="K10">
        <v>2</v>
      </c>
    </row>
    <row r="11" spans="1:11">
      <c r="A11" t="s">
        <v>16</v>
      </c>
      <c r="B11">
        <v>3</v>
      </c>
      <c r="C11" t="s">
        <v>14</v>
      </c>
      <c r="E11" t="s">
        <v>142</v>
      </c>
      <c r="F11" s="24">
        <v>1.1470588235294117</v>
      </c>
      <c r="I11">
        <v>1</v>
      </c>
      <c r="J11">
        <v>3</v>
      </c>
      <c r="K11">
        <v>2</v>
      </c>
    </row>
    <row r="12" spans="1:11">
      <c r="A12" t="s">
        <v>18</v>
      </c>
      <c r="B12">
        <v>4</v>
      </c>
      <c r="C12" t="s">
        <v>14</v>
      </c>
      <c r="E12" t="s">
        <v>143</v>
      </c>
      <c r="F12" s="24">
        <v>-1.1117652670154936</v>
      </c>
      <c r="I12">
        <v>1</v>
      </c>
      <c r="J12">
        <v>4</v>
      </c>
      <c r="K12">
        <v>3</v>
      </c>
    </row>
    <row r="13" spans="1:11">
      <c r="A13" t="s">
        <v>18</v>
      </c>
      <c r="B13">
        <v>3</v>
      </c>
      <c r="C13" t="s">
        <v>11</v>
      </c>
      <c r="E13" t="s">
        <v>144</v>
      </c>
      <c r="F13" s="24">
        <v>-0.35998474446359763</v>
      </c>
      <c r="I13">
        <v>2</v>
      </c>
      <c r="J13">
        <v>1</v>
      </c>
      <c r="K13">
        <v>3</v>
      </c>
    </row>
    <row r="14" spans="1:11">
      <c r="A14" t="s">
        <v>16</v>
      </c>
      <c r="B14">
        <v>2</v>
      </c>
      <c r="C14" t="s">
        <v>11</v>
      </c>
      <c r="E14" t="s">
        <v>145</v>
      </c>
      <c r="F14">
        <v>3</v>
      </c>
      <c r="I14">
        <v>2</v>
      </c>
      <c r="J14">
        <v>3</v>
      </c>
      <c r="K14">
        <v>2</v>
      </c>
    </row>
    <row r="15" spans="1:11">
      <c r="A15" t="s">
        <v>18</v>
      </c>
      <c r="B15">
        <v>4</v>
      </c>
      <c r="C15" t="s">
        <v>11</v>
      </c>
      <c r="E15" t="s">
        <v>146</v>
      </c>
      <c r="F15">
        <v>1</v>
      </c>
      <c r="I15">
        <v>2</v>
      </c>
      <c r="J15">
        <v>4</v>
      </c>
      <c r="K15">
        <v>2</v>
      </c>
    </row>
    <row r="16" spans="1:11">
      <c r="A16" t="s">
        <v>16</v>
      </c>
      <c r="B16">
        <v>4</v>
      </c>
      <c r="C16" t="s">
        <v>11</v>
      </c>
      <c r="E16" t="s">
        <v>147</v>
      </c>
      <c r="F16">
        <v>4</v>
      </c>
      <c r="I16">
        <v>3</v>
      </c>
      <c r="J16">
        <v>4</v>
      </c>
      <c r="K16">
        <v>3</v>
      </c>
    </row>
    <row r="17" spans="1:17">
      <c r="A17" t="s">
        <v>20</v>
      </c>
      <c r="B17">
        <v>2</v>
      </c>
      <c r="C17" t="s">
        <v>14</v>
      </c>
      <c r="E17" t="s">
        <v>67</v>
      </c>
      <c r="F17">
        <v>330</v>
      </c>
      <c r="I17">
        <v>1</v>
      </c>
      <c r="J17">
        <v>4</v>
      </c>
      <c r="K17">
        <v>4</v>
      </c>
    </row>
    <row r="18" spans="1:17">
      <c r="A18" t="s">
        <v>16</v>
      </c>
      <c r="B18">
        <v>4</v>
      </c>
      <c r="C18" t="s">
        <v>14</v>
      </c>
      <c r="E18" t="s">
        <v>66</v>
      </c>
      <c r="F18">
        <v>120</v>
      </c>
      <c r="I18">
        <v>3</v>
      </c>
      <c r="J18">
        <v>4</v>
      </c>
      <c r="K18">
        <v>2</v>
      </c>
    </row>
    <row r="19" spans="1:17">
      <c r="A19" t="s">
        <v>16</v>
      </c>
      <c r="B19">
        <v>1</v>
      </c>
      <c r="C19" t="s">
        <v>14</v>
      </c>
      <c r="I19">
        <v>4</v>
      </c>
      <c r="J19">
        <v>4</v>
      </c>
      <c r="K19">
        <v>1</v>
      </c>
    </row>
    <row r="20" spans="1:17">
      <c r="A20" t="s">
        <v>16</v>
      </c>
      <c r="B20">
        <v>1</v>
      </c>
      <c r="C20" t="s">
        <v>11</v>
      </c>
      <c r="I20">
        <v>2</v>
      </c>
      <c r="J20">
        <v>4</v>
      </c>
      <c r="K20">
        <v>3</v>
      </c>
    </row>
    <row r="21" spans="1:17">
      <c r="A21" t="s">
        <v>18</v>
      </c>
      <c r="B21">
        <v>4</v>
      </c>
      <c r="C21" t="s">
        <v>14</v>
      </c>
      <c r="I21">
        <v>3</v>
      </c>
      <c r="J21">
        <v>2</v>
      </c>
      <c r="K21">
        <v>3</v>
      </c>
      <c r="M21" s="75" t="s">
        <v>112</v>
      </c>
    </row>
    <row r="22" spans="1:17">
      <c r="A22" t="s">
        <v>18</v>
      </c>
      <c r="B22">
        <v>3</v>
      </c>
      <c r="C22" t="s">
        <v>14</v>
      </c>
      <c r="I22">
        <v>2</v>
      </c>
      <c r="J22">
        <v>4</v>
      </c>
      <c r="K22">
        <v>3</v>
      </c>
    </row>
    <row r="23" spans="1:17">
      <c r="A23" t="s">
        <v>16</v>
      </c>
      <c r="B23">
        <v>4</v>
      </c>
      <c r="C23" t="s">
        <v>11</v>
      </c>
      <c r="I23">
        <v>3</v>
      </c>
      <c r="J23">
        <v>3</v>
      </c>
      <c r="K23">
        <v>4</v>
      </c>
      <c r="M23" s="75" t="s">
        <v>64</v>
      </c>
      <c r="N23" s="75" t="s">
        <v>16</v>
      </c>
      <c r="O23" s="75" t="s">
        <v>18</v>
      </c>
      <c r="P23" s="75" t="s">
        <v>20</v>
      </c>
      <c r="Q23" s="75" t="s">
        <v>80</v>
      </c>
    </row>
    <row r="24" spans="1:17" ht="16" thickBot="1">
      <c r="A24" t="s">
        <v>16</v>
      </c>
      <c r="B24">
        <v>3</v>
      </c>
      <c r="C24" t="s">
        <v>14</v>
      </c>
      <c r="I24">
        <v>4</v>
      </c>
      <c r="J24">
        <v>4</v>
      </c>
      <c r="K24">
        <v>3</v>
      </c>
      <c r="M24" s="49" t="s">
        <v>110</v>
      </c>
      <c r="N24" s="49"/>
      <c r="O24" s="49"/>
      <c r="P24" s="49"/>
      <c r="Q24" s="49"/>
    </row>
    <row r="25" spans="1:17" ht="19">
      <c r="A25" t="s">
        <v>16</v>
      </c>
      <c r="B25">
        <v>1</v>
      </c>
      <c r="C25" t="s">
        <v>11</v>
      </c>
      <c r="H25" s="74" t="s">
        <v>111</v>
      </c>
      <c r="I25">
        <v>3</v>
      </c>
      <c r="J25">
        <v>3</v>
      </c>
      <c r="K25">
        <v>4</v>
      </c>
      <c r="M25" t="s">
        <v>66</v>
      </c>
      <c r="N25">
        <v>20</v>
      </c>
      <c r="O25">
        <v>20</v>
      </c>
      <c r="P25">
        <v>20</v>
      </c>
      <c r="Q25">
        <v>60</v>
      </c>
    </row>
    <row r="26" spans="1:17">
      <c r="A26" t="s">
        <v>18</v>
      </c>
      <c r="B26">
        <v>4</v>
      </c>
      <c r="C26" t="s">
        <v>14</v>
      </c>
      <c r="I26">
        <v>2</v>
      </c>
      <c r="J26">
        <v>1</v>
      </c>
      <c r="K26">
        <v>3</v>
      </c>
      <c r="M26" t="s">
        <v>67</v>
      </c>
      <c r="N26">
        <v>48</v>
      </c>
      <c r="O26">
        <v>67</v>
      </c>
      <c r="P26">
        <v>54</v>
      </c>
      <c r="Q26">
        <v>169</v>
      </c>
    </row>
    <row r="27" spans="1:17">
      <c r="A27" t="s">
        <v>18</v>
      </c>
      <c r="B27">
        <v>1</v>
      </c>
      <c r="C27" t="s">
        <v>14</v>
      </c>
      <c r="I27">
        <v>4</v>
      </c>
      <c r="J27">
        <v>3</v>
      </c>
      <c r="K27">
        <v>1</v>
      </c>
      <c r="M27" t="s">
        <v>68</v>
      </c>
      <c r="N27">
        <v>2.4</v>
      </c>
      <c r="O27">
        <v>3.35</v>
      </c>
      <c r="P27">
        <v>2.7</v>
      </c>
      <c r="Q27" s="71">
        <v>2.8166666666666669</v>
      </c>
    </row>
    <row r="28" spans="1:17">
      <c r="A28" t="s">
        <v>18</v>
      </c>
      <c r="B28">
        <v>3</v>
      </c>
      <c r="C28" t="s">
        <v>14</v>
      </c>
      <c r="I28">
        <v>1</v>
      </c>
      <c r="J28">
        <v>3</v>
      </c>
      <c r="K28">
        <v>2</v>
      </c>
      <c r="M28" t="s">
        <v>69</v>
      </c>
      <c r="N28" s="24">
        <v>0.98947368421052617</v>
      </c>
      <c r="O28" s="24">
        <v>0.87105263157894797</v>
      </c>
      <c r="P28" s="24">
        <v>0.53684210526315734</v>
      </c>
      <c r="Q28" s="24">
        <v>0.93192090395480254</v>
      </c>
    </row>
    <row r="29" spans="1:17">
      <c r="A29" t="s">
        <v>18</v>
      </c>
      <c r="B29">
        <v>4</v>
      </c>
      <c r="C29" t="s">
        <v>14</v>
      </c>
      <c r="I29">
        <v>4</v>
      </c>
      <c r="J29">
        <v>4</v>
      </c>
      <c r="K29">
        <v>4</v>
      </c>
    </row>
    <row r="30" spans="1:17" ht="16" thickBot="1">
      <c r="A30" t="s">
        <v>20</v>
      </c>
      <c r="B30">
        <v>3</v>
      </c>
      <c r="C30" t="s">
        <v>14</v>
      </c>
      <c r="I30">
        <v>1</v>
      </c>
      <c r="J30">
        <v>3</v>
      </c>
      <c r="K30">
        <v>4</v>
      </c>
      <c r="M30" s="49" t="s">
        <v>111</v>
      </c>
      <c r="N30" s="49"/>
      <c r="O30" s="49"/>
      <c r="P30" s="49"/>
      <c r="Q30" s="49"/>
    </row>
    <row r="31" spans="1:17">
      <c r="A31" t="s">
        <v>16</v>
      </c>
      <c r="B31">
        <v>2</v>
      </c>
      <c r="C31" t="s">
        <v>14</v>
      </c>
      <c r="I31">
        <v>3</v>
      </c>
      <c r="J31">
        <v>3</v>
      </c>
      <c r="K31">
        <v>3</v>
      </c>
      <c r="M31" t="s">
        <v>66</v>
      </c>
      <c r="N31">
        <v>20</v>
      </c>
      <c r="O31">
        <v>20</v>
      </c>
      <c r="P31">
        <v>20</v>
      </c>
      <c r="Q31">
        <v>60</v>
      </c>
    </row>
    <row r="32" spans="1:17">
      <c r="A32" t="s">
        <v>18</v>
      </c>
      <c r="B32">
        <v>4</v>
      </c>
      <c r="C32" t="s">
        <v>14</v>
      </c>
      <c r="I32">
        <v>4</v>
      </c>
      <c r="J32">
        <v>1</v>
      </c>
      <c r="K32">
        <v>1</v>
      </c>
      <c r="M32" t="s">
        <v>67</v>
      </c>
      <c r="N32">
        <v>50</v>
      </c>
      <c r="O32">
        <v>57</v>
      </c>
      <c r="P32">
        <v>54</v>
      </c>
      <c r="Q32">
        <v>161</v>
      </c>
    </row>
    <row r="33" spans="1:19">
      <c r="A33" t="s">
        <v>18</v>
      </c>
      <c r="B33">
        <v>3</v>
      </c>
      <c r="C33" t="s">
        <v>11</v>
      </c>
      <c r="I33">
        <v>2</v>
      </c>
      <c r="J33">
        <v>4</v>
      </c>
      <c r="K33">
        <v>4</v>
      </c>
      <c r="M33" t="s">
        <v>68</v>
      </c>
      <c r="N33">
        <v>2.5</v>
      </c>
      <c r="O33">
        <v>2.85</v>
      </c>
      <c r="P33">
        <v>2.7</v>
      </c>
      <c r="Q33" s="24">
        <v>2.6833333333333331</v>
      </c>
    </row>
    <row r="34" spans="1:19">
      <c r="A34" t="s">
        <v>18</v>
      </c>
      <c r="B34">
        <v>3</v>
      </c>
      <c r="C34" t="s">
        <v>11</v>
      </c>
      <c r="I34">
        <v>3</v>
      </c>
      <c r="J34">
        <v>4</v>
      </c>
      <c r="K34">
        <v>3</v>
      </c>
      <c r="M34" t="s">
        <v>69</v>
      </c>
      <c r="N34" s="24">
        <v>1.3157894736842106</v>
      </c>
      <c r="O34" s="24">
        <v>1.1868421052631586</v>
      </c>
      <c r="P34" s="24">
        <v>1.6947368421052627</v>
      </c>
      <c r="Q34" s="24">
        <v>1.3725988700564975</v>
      </c>
    </row>
    <row r="35" spans="1:19">
      <c r="A35" t="s">
        <v>20</v>
      </c>
      <c r="B35">
        <v>4</v>
      </c>
      <c r="C35" t="s">
        <v>11</v>
      </c>
      <c r="I35">
        <v>2</v>
      </c>
      <c r="J35">
        <v>3</v>
      </c>
      <c r="K35">
        <v>4</v>
      </c>
    </row>
    <row r="36" spans="1:19" ht="16" thickBot="1">
      <c r="A36" t="s">
        <v>18</v>
      </c>
      <c r="B36">
        <v>1</v>
      </c>
      <c r="C36" t="s">
        <v>11</v>
      </c>
      <c r="I36">
        <v>3</v>
      </c>
      <c r="J36">
        <v>4</v>
      </c>
      <c r="K36">
        <v>2</v>
      </c>
      <c r="M36" s="49" t="s">
        <v>80</v>
      </c>
      <c r="N36" s="49"/>
      <c r="O36" s="49"/>
      <c r="P36" s="49"/>
    </row>
    <row r="37" spans="1:19">
      <c r="A37" t="s">
        <v>18</v>
      </c>
      <c r="B37">
        <v>4</v>
      </c>
      <c r="C37" t="s">
        <v>14</v>
      </c>
      <c r="I37">
        <v>2</v>
      </c>
      <c r="J37">
        <v>4</v>
      </c>
      <c r="K37">
        <v>4</v>
      </c>
      <c r="M37" t="s">
        <v>66</v>
      </c>
      <c r="N37">
        <v>40</v>
      </c>
      <c r="O37">
        <v>40</v>
      </c>
      <c r="P37">
        <v>40</v>
      </c>
    </row>
    <row r="38" spans="1:19">
      <c r="A38" t="s">
        <v>18</v>
      </c>
      <c r="B38">
        <v>4</v>
      </c>
      <c r="C38" t="s">
        <v>14</v>
      </c>
      <c r="I38">
        <v>1</v>
      </c>
      <c r="J38">
        <v>3</v>
      </c>
      <c r="K38">
        <v>1</v>
      </c>
      <c r="M38" t="s">
        <v>67</v>
      </c>
      <c r="N38">
        <v>98</v>
      </c>
      <c r="O38">
        <v>124</v>
      </c>
      <c r="P38">
        <v>108</v>
      </c>
    </row>
    <row r="39" spans="1:19">
      <c r="A39" t="s">
        <v>20</v>
      </c>
      <c r="B39">
        <v>3</v>
      </c>
      <c r="C39" t="s">
        <v>11</v>
      </c>
      <c r="I39">
        <v>4</v>
      </c>
      <c r="J39">
        <v>1</v>
      </c>
      <c r="K39">
        <v>3</v>
      </c>
      <c r="M39" t="s">
        <v>68</v>
      </c>
      <c r="N39">
        <v>2.4500000000000002</v>
      </c>
      <c r="O39">
        <v>3.1</v>
      </c>
      <c r="P39">
        <v>2.7</v>
      </c>
    </row>
    <row r="40" spans="1:19">
      <c r="A40" t="s">
        <v>16</v>
      </c>
      <c r="B40">
        <v>1</v>
      </c>
      <c r="C40" t="s">
        <v>14</v>
      </c>
      <c r="I40">
        <v>1</v>
      </c>
      <c r="J40">
        <v>4</v>
      </c>
      <c r="K40">
        <v>1</v>
      </c>
      <c r="M40" t="s">
        <v>69</v>
      </c>
      <c r="N40" s="69">
        <v>1.1256410256410259</v>
      </c>
      <c r="O40" s="69">
        <v>1.0666666666666673</v>
      </c>
      <c r="P40" s="69">
        <v>1.0871794871794866</v>
      </c>
    </row>
    <row r="41" spans="1:19">
      <c r="A41" t="s">
        <v>16</v>
      </c>
      <c r="B41">
        <v>1</v>
      </c>
      <c r="C41" t="s">
        <v>14</v>
      </c>
      <c r="I41">
        <v>3</v>
      </c>
      <c r="J41">
        <v>3</v>
      </c>
      <c r="K41">
        <v>1</v>
      </c>
    </row>
    <row r="42" spans="1:19">
      <c r="A42" t="s">
        <v>16</v>
      </c>
      <c r="B42">
        <v>3</v>
      </c>
      <c r="C42" t="s">
        <v>11</v>
      </c>
      <c r="I42">
        <v>2</v>
      </c>
      <c r="J42">
        <v>2</v>
      </c>
      <c r="K42">
        <v>1</v>
      </c>
    </row>
    <row r="43" spans="1:19" ht="16" thickBot="1">
      <c r="A43" t="s">
        <v>16</v>
      </c>
      <c r="B43">
        <v>2</v>
      </c>
      <c r="C43" t="s">
        <v>14</v>
      </c>
      <c r="I43">
        <v>1</v>
      </c>
      <c r="J43">
        <v>1</v>
      </c>
      <c r="K43">
        <v>4</v>
      </c>
      <c r="M43" t="s">
        <v>70</v>
      </c>
    </row>
    <row r="44" spans="1:19">
      <c r="A44" t="s">
        <v>16</v>
      </c>
      <c r="B44">
        <v>2</v>
      </c>
      <c r="C44" t="s">
        <v>14</v>
      </c>
      <c r="I44">
        <v>4</v>
      </c>
      <c r="J44">
        <v>3</v>
      </c>
      <c r="K44">
        <v>4</v>
      </c>
      <c r="M44" s="23" t="s">
        <v>71</v>
      </c>
      <c r="N44" s="23" t="s">
        <v>72</v>
      </c>
      <c r="O44" s="23" t="s">
        <v>73</v>
      </c>
      <c r="P44" s="23" t="s">
        <v>74</v>
      </c>
      <c r="Q44" s="23" t="s">
        <v>75</v>
      </c>
      <c r="R44" s="23" t="s">
        <v>76</v>
      </c>
      <c r="S44" s="23" t="s">
        <v>77</v>
      </c>
    </row>
    <row r="45" spans="1:19">
      <c r="A45" t="s">
        <v>16</v>
      </c>
      <c r="B45">
        <v>2</v>
      </c>
      <c r="C45" t="s">
        <v>14</v>
      </c>
      <c r="M45" t="s">
        <v>113</v>
      </c>
      <c r="N45" s="24">
        <v>0.53333333333333144</v>
      </c>
      <c r="O45" s="24">
        <v>1</v>
      </c>
      <c r="P45" s="24">
        <v>0.53333333333333144</v>
      </c>
      <c r="Q45" s="24">
        <v>0.48523543495610372</v>
      </c>
      <c r="R45" s="24">
        <v>0.48747833495428294</v>
      </c>
      <c r="S45" s="24">
        <v>3.9243304846396727</v>
      </c>
    </row>
    <row r="46" spans="1:19">
      <c r="A46" t="s">
        <v>18</v>
      </c>
      <c r="B46">
        <v>4</v>
      </c>
      <c r="C46" t="s">
        <v>14</v>
      </c>
      <c r="M46" t="s">
        <v>114</v>
      </c>
      <c r="N46" s="24">
        <v>8.6000000000000085</v>
      </c>
      <c r="O46" s="24">
        <v>2</v>
      </c>
      <c r="P46" s="24">
        <v>4.3000000000000043</v>
      </c>
      <c r="Q46" s="24">
        <v>3.9122106943336039</v>
      </c>
      <c r="R46" s="24">
        <v>2.2736214453930814E-2</v>
      </c>
      <c r="S46" s="24">
        <v>3.0758526364438175</v>
      </c>
    </row>
    <row r="47" spans="1:19">
      <c r="A47" t="s">
        <v>20</v>
      </c>
      <c r="B47">
        <v>1</v>
      </c>
      <c r="C47" t="s">
        <v>11</v>
      </c>
      <c r="M47" t="s">
        <v>115</v>
      </c>
      <c r="N47" s="24">
        <v>2.0666666666666771</v>
      </c>
      <c r="O47" s="24">
        <v>2</v>
      </c>
      <c r="P47" s="24">
        <v>1.0333333333333385</v>
      </c>
      <c r="Q47" s="24">
        <v>0.94014365522745902</v>
      </c>
      <c r="R47" s="24">
        <v>0.3935785464283198</v>
      </c>
      <c r="S47" s="24">
        <v>3.0758526364438175</v>
      </c>
    </row>
    <row r="48" spans="1:19">
      <c r="A48" t="s">
        <v>20</v>
      </c>
      <c r="B48">
        <v>3</v>
      </c>
      <c r="C48" t="s">
        <v>14</v>
      </c>
      <c r="M48" t="s">
        <v>116</v>
      </c>
      <c r="N48" s="24">
        <v>125.29999999999998</v>
      </c>
      <c r="O48" s="24">
        <v>114</v>
      </c>
      <c r="P48" s="24">
        <v>1.0991228070175436</v>
      </c>
      <c r="Q48" s="24"/>
      <c r="R48" s="24"/>
      <c r="S48" s="24"/>
    </row>
    <row r="49" spans="1:19">
      <c r="A49" t="s">
        <v>18</v>
      </c>
      <c r="B49">
        <v>4</v>
      </c>
      <c r="C49" t="s">
        <v>11</v>
      </c>
    </row>
    <row r="50" spans="1:19" ht="16" thickBot="1">
      <c r="A50" t="s">
        <v>16</v>
      </c>
      <c r="B50">
        <v>3</v>
      </c>
      <c r="C50" t="s">
        <v>14</v>
      </c>
      <c r="M50" s="22" t="s">
        <v>80</v>
      </c>
      <c r="N50" s="22">
        <v>136.5</v>
      </c>
      <c r="O50" s="22">
        <v>119</v>
      </c>
      <c r="P50" s="22"/>
      <c r="Q50" s="22"/>
      <c r="R50" s="22"/>
      <c r="S50" s="22"/>
    </row>
    <row r="51" spans="1:19">
      <c r="A51" t="s">
        <v>16</v>
      </c>
      <c r="B51">
        <v>4</v>
      </c>
      <c r="C51" t="s">
        <v>11</v>
      </c>
    </row>
    <row r="52" spans="1:19">
      <c r="A52" t="s">
        <v>18</v>
      </c>
      <c r="B52">
        <v>4</v>
      </c>
      <c r="C52" t="s">
        <v>14</v>
      </c>
    </row>
    <row r="53" spans="1:19">
      <c r="A53" t="s">
        <v>20</v>
      </c>
      <c r="B53">
        <v>3</v>
      </c>
      <c r="C53" t="s">
        <v>14</v>
      </c>
    </row>
    <row r="54" spans="1:19">
      <c r="A54" t="s">
        <v>18</v>
      </c>
      <c r="B54">
        <v>2</v>
      </c>
      <c r="C54" t="s">
        <v>14</v>
      </c>
    </row>
    <row r="55" spans="1:19">
      <c r="A55" t="s">
        <v>16</v>
      </c>
      <c r="B55">
        <v>1</v>
      </c>
      <c r="C55" t="s">
        <v>14</v>
      </c>
    </row>
    <row r="56" spans="1:19">
      <c r="A56" t="s">
        <v>18</v>
      </c>
      <c r="B56">
        <v>4</v>
      </c>
      <c r="C56" t="s">
        <v>11</v>
      </c>
    </row>
    <row r="57" spans="1:19">
      <c r="A57" t="s">
        <v>16</v>
      </c>
      <c r="B57">
        <v>3</v>
      </c>
      <c r="C57" t="s">
        <v>14</v>
      </c>
    </row>
    <row r="58" spans="1:19">
      <c r="A58" t="s">
        <v>20</v>
      </c>
      <c r="B58">
        <v>2</v>
      </c>
      <c r="C58" t="s">
        <v>11</v>
      </c>
    </row>
    <row r="59" spans="1:19">
      <c r="A59" t="s">
        <v>16</v>
      </c>
      <c r="B59">
        <v>4</v>
      </c>
      <c r="C59" t="s">
        <v>14</v>
      </c>
    </row>
    <row r="60" spans="1:19">
      <c r="A60" t="s">
        <v>18</v>
      </c>
      <c r="B60">
        <v>4</v>
      </c>
      <c r="C60" t="s">
        <v>14</v>
      </c>
    </row>
    <row r="61" spans="1:19">
      <c r="A61" t="s">
        <v>18</v>
      </c>
      <c r="B61">
        <v>3</v>
      </c>
      <c r="C61" t="s">
        <v>11</v>
      </c>
    </row>
    <row r="62" spans="1:19">
      <c r="A62" t="s">
        <v>18</v>
      </c>
      <c r="B62">
        <v>3</v>
      </c>
      <c r="C62" t="s">
        <v>14</v>
      </c>
    </row>
    <row r="63" spans="1:19">
      <c r="A63" t="s">
        <v>16</v>
      </c>
      <c r="B63">
        <v>2</v>
      </c>
      <c r="C63" t="s">
        <v>14</v>
      </c>
    </row>
    <row r="64" spans="1:19">
      <c r="A64" t="s">
        <v>18</v>
      </c>
      <c r="B64">
        <v>4</v>
      </c>
      <c r="C64" t="s">
        <v>14</v>
      </c>
    </row>
    <row r="65" spans="1:3">
      <c r="A65" t="s">
        <v>16</v>
      </c>
      <c r="B65">
        <v>3</v>
      </c>
      <c r="C65" t="s">
        <v>14</v>
      </c>
    </row>
    <row r="66" spans="1:3">
      <c r="A66" t="s">
        <v>16</v>
      </c>
      <c r="B66">
        <v>2</v>
      </c>
      <c r="C66" t="s">
        <v>11</v>
      </c>
    </row>
    <row r="67" spans="1:3">
      <c r="A67" t="s">
        <v>20</v>
      </c>
      <c r="B67">
        <v>3</v>
      </c>
      <c r="C67" t="s">
        <v>14</v>
      </c>
    </row>
    <row r="68" spans="1:3">
      <c r="A68" t="s">
        <v>16</v>
      </c>
      <c r="B68">
        <v>2</v>
      </c>
      <c r="C68" t="s">
        <v>14</v>
      </c>
    </row>
    <row r="69" spans="1:3">
      <c r="A69" t="s">
        <v>16</v>
      </c>
      <c r="B69">
        <v>3</v>
      </c>
      <c r="C69" t="s">
        <v>14</v>
      </c>
    </row>
    <row r="70" spans="1:3">
      <c r="A70" t="s">
        <v>16</v>
      </c>
      <c r="B70">
        <v>4</v>
      </c>
      <c r="C70" t="s">
        <v>14</v>
      </c>
    </row>
    <row r="71" spans="1:3">
      <c r="A71" t="s">
        <v>16</v>
      </c>
      <c r="B71">
        <v>3</v>
      </c>
      <c r="C71" t="s">
        <v>11</v>
      </c>
    </row>
    <row r="72" spans="1:3">
      <c r="A72" t="s">
        <v>16</v>
      </c>
      <c r="B72">
        <v>2</v>
      </c>
      <c r="C72" t="s">
        <v>11</v>
      </c>
    </row>
    <row r="73" spans="1:3">
      <c r="A73" t="s">
        <v>16</v>
      </c>
      <c r="B73">
        <v>3</v>
      </c>
      <c r="C73" t="s">
        <v>11</v>
      </c>
    </row>
    <row r="74" spans="1:3">
      <c r="A74" t="s">
        <v>16</v>
      </c>
      <c r="B74">
        <v>2</v>
      </c>
      <c r="C74" t="s">
        <v>11</v>
      </c>
    </row>
    <row r="75" spans="1:3">
      <c r="A75" t="s">
        <v>16</v>
      </c>
      <c r="B75">
        <v>1</v>
      </c>
      <c r="C75" t="s">
        <v>11</v>
      </c>
    </row>
    <row r="76" spans="1:3">
      <c r="A76" t="s">
        <v>16</v>
      </c>
      <c r="B76">
        <v>4</v>
      </c>
      <c r="C76" t="s">
        <v>11</v>
      </c>
    </row>
    <row r="77" spans="1:3">
      <c r="A77" t="s">
        <v>20</v>
      </c>
      <c r="B77">
        <v>2</v>
      </c>
      <c r="C77" t="s">
        <v>14</v>
      </c>
    </row>
    <row r="78" spans="1:3">
      <c r="A78" t="s">
        <v>16</v>
      </c>
      <c r="B78">
        <v>1</v>
      </c>
      <c r="C78" t="s">
        <v>11</v>
      </c>
    </row>
    <row r="79" spans="1:3">
      <c r="A79" t="s">
        <v>16</v>
      </c>
      <c r="B79">
        <v>3</v>
      </c>
      <c r="C79" t="s">
        <v>11</v>
      </c>
    </row>
    <row r="80" spans="1:3">
      <c r="A80" t="s">
        <v>18</v>
      </c>
      <c r="B80">
        <v>4</v>
      </c>
      <c r="C80" t="s">
        <v>11</v>
      </c>
    </row>
    <row r="81" spans="1:3">
      <c r="A81" t="s">
        <v>16</v>
      </c>
      <c r="B81">
        <v>2</v>
      </c>
      <c r="C81" t="s">
        <v>11</v>
      </c>
    </row>
    <row r="82" spans="1:3">
      <c r="A82" t="s">
        <v>20</v>
      </c>
      <c r="B82">
        <v>2</v>
      </c>
      <c r="C82" t="s">
        <v>14</v>
      </c>
    </row>
    <row r="83" spans="1:3">
      <c r="A83" t="s">
        <v>16</v>
      </c>
      <c r="B83">
        <v>1</v>
      </c>
      <c r="C83" t="s">
        <v>11</v>
      </c>
    </row>
    <row r="84" spans="1:3">
      <c r="A84" t="s">
        <v>20</v>
      </c>
      <c r="B84">
        <v>4</v>
      </c>
      <c r="C84" t="s">
        <v>11</v>
      </c>
    </row>
    <row r="85" spans="1:3">
      <c r="A85" t="s">
        <v>16</v>
      </c>
      <c r="B85">
        <v>4</v>
      </c>
      <c r="C85" t="s">
        <v>11</v>
      </c>
    </row>
    <row r="86" spans="1:3">
      <c r="A86" t="s">
        <v>18</v>
      </c>
      <c r="B86">
        <v>4</v>
      </c>
      <c r="C86" t="s">
        <v>11</v>
      </c>
    </row>
    <row r="87" spans="1:3">
      <c r="A87" t="s">
        <v>18</v>
      </c>
      <c r="B87">
        <v>3</v>
      </c>
      <c r="C87" t="s">
        <v>11</v>
      </c>
    </row>
    <row r="88" spans="1:3">
      <c r="A88" t="s">
        <v>20</v>
      </c>
      <c r="B88">
        <v>3</v>
      </c>
      <c r="C88" t="s">
        <v>14</v>
      </c>
    </row>
    <row r="89" spans="1:3">
      <c r="A89" t="s">
        <v>18</v>
      </c>
      <c r="B89">
        <v>1</v>
      </c>
      <c r="C89" t="s">
        <v>11</v>
      </c>
    </row>
    <row r="90" spans="1:3">
      <c r="A90" t="s">
        <v>20</v>
      </c>
      <c r="B90">
        <v>3</v>
      </c>
      <c r="C90" t="s">
        <v>14</v>
      </c>
    </row>
    <row r="91" spans="1:3">
      <c r="A91" t="s">
        <v>20</v>
      </c>
      <c r="B91">
        <v>4</v>
      </c>
      <c r="C91" t="s">
        <v>11</v>
      </c>
    </row>
    <row r="92" spans="1:3">
      <c r="A92" t="s">
        <v>20</v>
      </c>
      <c r="B92">
        <v>2</v>
      </c>
      <c r="C92" t="s">
        <v>14</v>
      </c>
    </row>
    <row r="93" spans="1:3">
      <c r="A93" t="s">
        <v>20</v>
      </c>
      <c r="B93">
        <v>3</v>
      </c>
      <c r="C93" t="s">
        <v>11</v>
      </c>
    </row>
    <row r="94" spans="1:3">
      <c r="A94" t="s">
        <v>18</v>
      </c>
      <c r="B94">
        <v>4</v>
      </c>
      <c r="C94" t="s">
        <v>11</v>
      </c>
    </row>
    <row r="95" spans="1:3">
      <c r="A95" t="s">
        <v>18</v>
      </c>
      <c r="B95">
        <v>3</v>
      </c>
      <c r="C95" t="s">
        <v>11</v>
      </c>
    </row>
    <row r="96" spans="1:3">
      <c r="A96" t="s">
        <v>18</v>
      </c>
      <c r="B96">
        <v>2</v>
      </c>
      <c r="C96" t="s">
        <v>11</v>
      </c>
    </row>
    <row r="97" spans="1:3">
      <c r="A97" t="s">
        <v>20</v>
      </c>
      <c r="B97">
        <v>1</v>
      </c>
      <c r="C97" t="s">
        <v>11</v>
      </c>
    </row>
    <row r="98" spans="1:3">
      <c r="A98" t="s">
        <v>20</v>
      </c>
      <c r="B98">
        <v>2</v>
      </c>
      <c r="C98" t="s">
        <v>14</v>
      </c>
    </row>
    <row r="99" spans="1:3">
      <c r="A99" t="s">
        <v>20</v>
      </c>
      <c r="B99">
        <v>3</v>
      </c>
      <c r="C99" t="s">
        <v>14</v>
      </c>
    </row>
    <row r="100" spans="1:3">
      <c r="A100" t="s">
        <v>18</v>
      </c>
      <c r="B100">
        <v>1</v>
      </c>
      <c r="C100" t="s">
        <v>11</v>
      </c>
    </row>
    <row r="101" spans="1:3">
      <c r="A101" t="s">
        <v>20</v>
      </c>
      <c r="B101">
        <v>4</v>
      </c>
      <c r="C101" t="s">
        <v>11</v>
      </c>
    </row>
    <row r="102" spans="1:3">
      <c r="A102" t="s">
        <v>20</v>
      </c>
      <c r="B102">
        <v>4</v>
      </c>
      <c r="C102" t="s">
        <v>14</v>
      </c>
    </row>
    <row r="103" spans="1:3">
      <c r="A103" t="s">
        <v>18</v>
      </c>
      <c r="B103">
        <v>3</v>
      </c>
      <c r="C103" t="s">
        <v>11</v>
      </c>
    </row>
    <row r="104" spans="1:3">
      <c r="A104" t="s">
        <v>20</v>
      </c>
      <c r="B104">
        <v>2</v>
      </c>
      <c r="C104" t="s">
        <v>14</v>
      </c>
    </row>
    <row r="105" spans="1:3">
      <c r="A105" t="s">
        <v>20</v>
      </c>
      <c r="B105">
        <v>1</v>
      </c>
      <c r="C105" t="s">
        <v>14</v>
      </c>
    </row>
    <row r="106" spans="1:3">
      <c r="A106" t="s">
        <v>20</v>
      </c>
      <c r="B106">
        <v>3</v>
      </c>
      <c r="C106" t="s">
        <v>14</v>
      </c>
    </row>
    <row r="107" spans="1:3">
      <c r="A107" t="s">
        <v>20</v>
      </c>
      <c r="B107">
        <v>3</v>
      </c>
      <c r="C107" t="s">
        <v>14</v>
      </c>
    </row>
    <row r="108" spans="1:3">
      <c r="A108" t="s">
        <v>20</v>
      </c>
      <c r="B108">
        <v>3</v>
      </c>
      <c r="C108" t="s">
        <v>14</v>
      </c>
    </row>
    <row r="109" spans="1:3">
      <c r="A109" t="s">
        <v>20</v>
      </c>
      <c r="B109">
        <v>3</v>
      </c>
      <c r="C109" t="s">
        <v>11</v>
      </c>
    </row>
    <row r="110" spans="1:3">
      <c r="A110" t="s">
        <v>20</v>
      </c>
      <c r="B110">
        <v>4</v>
      </c>
      <c r="C110" t="s">
        <v>11</v>
      </c>
    </row>
    <row r="111" spans="1:3">
      <c r="A111" t="s">
        <v>20</v>
      </c>
      <c r="B111">
        <v>4</v>
      </c>
      <c r="C111" t="s">
        <v>14</v>
      </c>
    </row>
    <row r="112" spans="1:3">
      <c r="A112" t="s">
        <v>20</v>
      </c>
      <c r="B112">
        <v>3</v>
      </c>
      <c r="C112" t="s">
        <v>14</v>
      </c>
    </row>
    <row r="113" spans="1:3">
      <c r="A113" t="s">
        <v>20</v>
      </c>
      <c r="B113">
        <v>2</v>
      </c>
      <c r="C113" t="s">
        <v>11</v>
      </c>
    </row>
    <row r="114" spans="1:3">
      <c r="A114" t="s">
        <v>20</v>
      </c>
      <c r="B114">
        <v>4</v>
      </c>
      <c r="C114" t="s">
        <v>11</v>
      </c>
    </row>
    <row r="115" spans="1:3">
      <c r="A115" t="s">
        <v>20</v>
      </c>
      <c r="B115">
        <v>1</v>
      </c>
      <c r="C115" t="s">
        <v>11</v>
      </c>
    </row>
    <row r="116" spans="1:3">
      <c r="A116" t="s">
        <v>20</v>
      </c>
      <c r="B116">
        <v>3</v>
      </c>
      <c r="C116" t="s">
        <v>11</v>
      </c>
    </row>
    <row r="117" spans="1:3">
      <c r="A117" t="s">
        <v>20</v>
      </c>
      <c r="B117">
        <v>1</v>
      </c>
      <c r="C117" t="s">
        <v>11</v>
      </c>
    </row>
    <row r="118" spans="1:3">
      <c r="A118" t="s">
        <v>20</v>
      </c>
      <c r="B118">
        <v>1</v>
      </c>
      <c r="C118" t="s">
        <v>11</v>
      </c>
    </row>
    <row r="119" spans="1:3">
      <c r="A119" t="s">
        <v>20</v>
      </c>
      <c r="B119">
        <v>1</v>
      </c>
      <c r="C119" t="s">
        <v>11</v>
      </c>
    </row>
    <row r="120" spans="1:3">
      <c r="A120" t="s">
        <v>20</v>
      </c>
      <c r="B120">
        <v>4</v>
      </c>
      <c r="C120" t="s">
        <v>11</v>
      </c>
    </row>
    <row r="121" spans="1:3">
      <c r="A121" t="s">
        <v>20</v>
      </c>
      <c r="B121">
        <v>4</v>
      </c>
      <c r="C121" t="s">
        <v>11</v>
      </c>
    </row>
  </sheetData>
  <mergeCells count="1">
    <mergeCell ref="E4:F4"/>
  </mergeCells>
  <pageMargins left="0.7" right="0.7" top="0.75" bottom="0.75" header="0.3" footer="0.3"/>
  <drawing r:id="rId1"/>
  <tableParts count="3">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6321C-784F-D648-A27F-2C65F9731107}">
  <dimension ref="A1:P53"/>
  <sheetViews>
    <sheetView zoomScale="81" workbookViewId="0">
      <selection activeCell="L13" sqref="L13"/>
    </sheetView>
  </sheetViews>
  <sheetFormatPr baseColWidth="10" defaultRowHeight="15"/>
  <cols>
    <col min="1" max="1" width="24.6640625" customWidth="1"/>
    <col min="2" max="3" width="24.5" customWidth="1"/>
    <col min="4" max="4" width="26.6640625" customWidth="1"/>
    <col min="5" max="5" width="12.6640625" customWidth="1"/>
    <col min="9" max="9" width="32.5" customWidth="1"/>
    <col min="10" max="10" width="32.6640625" customWidth="1"/>
    <col min="15" max="15" width="27.6640625" customWidth="1"/>
    <col min="16" max="16" width="32" customWidth="1"/>
  </cols>
  <sheetData>
    <row r="1" spans="1:16">
      <c r="A1" s="1" t="s">
        <v>24</v>
      </c>
      <c r="B1" s="1" t="s">
        <v>22</v>
      </c>
      <c r="C1" s="1" t="s">
        <v>23</v>
      </c>
      <c r="D1" s="1" t="s">
        <v>122</v>
      </c>
    </row>
    <row r="2" spans="1:16">
      <c r="A2" s="1">
        <v>1</v>
      </c>
      <c r="B2" s="1">
        <v>2</v>
      </c>
      <c r="C2" s="1">
        <v>2</v>
      </c>
      <c r="D2">
        <f>C2-B2</f>
        <v>0</v>
      </c>
    </row>
    <row r="3" spans="1:16">
      <c r="A3" s="1">
        <v>2</v>
      </c>
      <c r="B3" s="1">
        <v>2</v>
      </c>
      <c r="C3" s="1">
        <v>2</v>
      </c>
      <c r="D3">
        <f t="shared" ref="D3:D31" si="0">C3-B3</f>
        <v>0</v>
      </c>
    </row>
    <row r="4" spans="1:16">
      <c r="A4" s="1">
        <v>3</v>
      </c>
      <c r="B4" s="1">
        <v>4</v>
      </c>
      <c r="C4" s="1">
        <v>4</v>
      </c>
      <c r="D4">
        <f t="shared" si="0"/>
        <v>0</v>
      </c>
    </row>
    <row r="5" spans="1:16">
      <c r="A5" s="1">
        <v>4</v>
      </c>
      <c r="B5" s="1">
        <v>2</v>
      </c>
      <c r="C5" s="1">
        <v>2</v>
      </c>
      <c r="D5">
        <f t="shared" si="0"/>
        <v>0</v>
      </c>
    </row>
    <row r="6" spans="1:16">
      <c r="A6" s="1">
        <v>5</v>
      </c>
      <c r="B6" s="1">
        <v>2</v>
      </c>
      <c r="C6" s="1">
        <v>2</v>
      </c>
      <c r="D6">
        <f t="shared" si="0"/>
        <v>0</v>
      </c>
    </row>
    <row r="7" spans="1:16">
      <c r="A7" s="1">
        <v>6</v>
      </c>
      <c r="B7" s="1">
        <v>3</v>
      </c>
      <c r="C7" s="1">
        <v>4</v>
      </c>
      <c r="D7">
        <f t="shared" si="0"/>
        <v>1</v>
      </c>
    </row>
    <row r="8" spans="1:16">
      <c r="A8" s="1">
        <v>7</v>
      </c>
      <c r="B8" s="1">
        <v>2</v>
      </c>
      <c r="C8" s="1">
        <v>2</v>
      </c>
      <c r="D8">
        <f t="shared" si="0"/>
        <v>0</v>
      </c>
    </row>
    <row r="9" spans="1:16">
      <c r="A9" s="1">
        <v>8</v>
      </c>
      <c r="B9" s="1">
        <v>4</v>
      </c>
      <c r="C9" s="1">
        <v>4</v>
      </c>
      <c r="D9">
        <f t="shared" si="0"/>
        <v>0</v>
      </c>
    </row>
    <row r="10" spans="1:16">
      <c r="A10" s="1">
        <v>9</v>
      </c>
      <c r="B10" s="1">
        <v>1</v>
      </c>
      <c r="C10" s="1">
        <v>1</v>
      </c>
      <c r="D10">
        <f t="shared" si="0"/>
        <v>0</v>
      </c>
    </row>
    <row r="11" spans="1:16">
      <c r="A11" s="1">
        <v>10</v>
      </c>
      <c r="B11" s="1">
        <v>4</v>
      </c>
      <c r="C11" s="1">
        <v>4</v>
      </c>
      <c r="D11">
        <f t="shared" si="0"/>
        <v>0</v>
      </c>
    </row>
    <row r="12" spans="1:16">
      <c r="A12" s="1">
        <v>11</v>
      </c>
      <c r="B12" s="1">
        <v>3</v>
      </c>
      <c r="C12" s="1">
        <v>3</v>
      </c>
      <c r="D12">
        <f t="shared" si="0"/>
        <v>0</v>
      </c>
    </row>
    <row r="13" spans="1:16">
      <c r="A13" s="1">
        <v>12</v>
      </c>
      <c r="B13" s="1">
        <v>2</v>
      </c>
      <c r="C13" s="1">
        <v>2</v>
      </c>
      <c r="D13">
        <f t="shared" si="0"/>
        <v>0</v>
      </c>
    </row>
    <row r="14" spans="1:16" ht="16" thickBot="1">
      <c r="A14" s="1">
        <v>13</v>
      </c>
      <c r="B14" s="1">
        <v>1</v>
      </c>
      <c r="C14" s="1">
        <v>1</v>
      </c>
      <c r="D14">
        <f t="shared" si="0"/>
        <v>0</v>
      </c>
    </row>
    <row r="15" spans="1:16">
      <c r="A15" s="1">
        <v>14</v>
      </c>
      <c r="B15" s="1">
        <v>4</v>
      </c>
      <c r="C15" s="1">
        <v>4</v>
      </c>
      <c r="D15">
        <f t="shared" si="0"/>
        <v>0</v>
      </c>
      <c r="I15" s="99" t="s">
        <v>117</v>
      </c>
      <c r="J15" s="100"/>
      <c r="K15" s="100"/>
      <c r="L15" s="101"/>
      <c r="O15" s="52"/>
      <c r="P15" s="53"/>
    </row>
    <row r="16" spans="1:16">
      <c r="A16" s="1">
        <v>15</v>
      </c>
      <c r="B16" s="1">
        <v>3</v>
      </c>
      <c r="C16" s="1">
        <v>3</v>
      </c>
      <c r="D16">
        <f t="shared" si="0"/>
        <v>0</v>
      </c>
      <c r="I16" s="102"/>
      <c r="J16" s="103"/>
      <c r="K16" s="103"/>
      <c r="L16" s="104"/>
      <c r="O16" s="96" t="s">
        <v>124</v>
      </c>
      <c r="P16" s="98"/>
    </row>
    <row r="17" spans="1:16">
      <c r="A17" s="1">
        <v>16</v>
      </c>
      <c r="B17" s="1">
        <v>3</v>
      </c>
      <c r="C17" s="1">
        <v>3</v>
      </c>
      <c r="D17">
        <f t="shared" si="0"/>
        <v>0</v>
      </c>
      <c r="I17" s="96" t="s">
        <v>37</v>
      </c>
      <c r="J17" s="97"/>
      <c r="K17" s="97"/>
      <c r="L17" s="98"/>
      <c r="O17" s="5" t="s">
        <v>125</v>
      </c>
      <c r="P17" s="54">
        <v>0.95</v>
      </c>
    </row>
    <row r="18" spans="1:16">
      <c r="A18" s="1">
        <v>17</v>
      </c>
      <c r="B18" s="1">
        <v>3</v>
      </c>
      <c r="C18" s="1">
        <v>3</v>
      </c>
      <c r="D18">
        <f t="shared" si="0"/>
        <v>0</v>
      </c>
      <c r="I18" s="5" t="s">
        <v>38</v>
      </c>
      <c r="J18" s="6" t="s">
        <v>118</v>
      </c>
      <c r="K18" s="6" t="str">
        <f>IF(K19="&gt;","≤",IF(K19="&lt;","≥","="))</f>
        <v>=</v>
      </c>
      <c r="L18" s="7">
        <f>L19</f>
        <v>0</v>
      </c>
      <c r="O18" s="52"/>
      <c r="P18" s="53"/>
    </row>
    <row r="19" spans="1:16">
      <c r="A19" s="1">
        <v>18</v>
      </c>
      <c r="B19" s="1">
        <v>1</v>
      </c>
      <c r="C19" s="1">
        <v>1</v>
      </c>
      <c r="D19">
        <f t="shared" si="0"/>
        <v>0</v>
      </c>
      <c r="I19" s="5" t="s">
        <v>40</v>
      </c>
      <c r="J19" s="6" t="s">
        <v>118</v>
      </c>
      <c r="K19" s="8" t="s">
        <v>41</v>
      </c>
      <c r="L19" s="9">
        <v>0</v>
      </c>
      <c r="O19" s="96" t="s">
        <v>126</v>
      </c>
      <c r="P19" s="98"/>
    </row>
    <row r="20" spans="1:16">
      <c r="A20" s="1">
        <v>19</v>
      </c>
      <c r="B20" s="1">
        <v>2</v>
      </c>
      <c r="C20" s="1">
        <v>3</v>
      </c>
      <c r="D20">
        <f t="shared" si="0"/>
        <v>1</v>
      </c>
      <c r="I20" s="10" t="s">
        <v>42</v>
      </c>
      <c r="J20" s="11"/>
      <c r="K20" s="11"/>
      <c r="L20" s="12" t="str">
        <f>IF(K19="&lt;","Lower",IF(K19="&gt;","Upper","Two"))</f>
        <v>Two</v>
      </c>
      <c r="O20" s="5" t="s">
        <v>127</v>
      </c>
      <c r="P20" s="9">
        <v>0.38</v>
      </c>
    </row>
    <row r="21" spans="1:16">
      <c r="A21" s="1">
        <v>20</v>
      </c>
      <c r="B21" s="1">
        <v>2</v>
      </c>
      <c r="C21" s="1">
        <v>2</v>
      </c>
      <c r="D21">
        <f t="shared" si="0"/>
        <v>0</v>
      </c>
      <c r="I21" s="96" t="s">
        <v>43</v>
      </c>
      <c r="J21" s="97"/>
      <c r="K21" s="97"/>
      <c r="L21" s="98"/>
      <c r="O21" s="5" t="s">
        <v>128</v>
      </c>
      <c r="P21" s="9">
        <v>0.17</v>
      </c>
    </row>
    <row r="22" spans="1:16">
      <c r="A22" s="1">
        <v>21</v>
      </c>
      <c r="B22" s="1">
        <v>4</v>
      </c>
      <c r="C22" s="1">
        <v>4</v>
      </c>
      <c r="D22">
        <f t="shared" si="0"/>
        <v>0</v>
      </c>
      <c r="I22" s="13"/>
      <c r="J22" s="14"/>
      <c r="K22" s="15" t="s">
        <v>44</v>
      </c>
      <c r="L22" s="16">
        <v>0.05</v>
      </c>
      <c r="O22" s="5" t="s">
        <v>51</v>
      </c>
      <c r="P22" s="9">
        <v>30</v>
      </c>
    </row>
    <row r="23" spans="1:16">
      <c r="A23" s="1">
        <v>22</v>
      </c>
      <c r="B23" s="1">
        <v>3</v>
      </c>
      <c r="C23" s="1">
        <v>3</v>
      </c>
      <c r="D23">
        <f t="shared" si="0"/>
        <v>0</v>
      </c>
      <c r="I23" s="96" t="s">
        <v>45</v>
      </c>
      <c r="J23" s="97"/>
      <c r="K23" s="97"/>
      <c r="L23" s="98"/>
      <c r="O23" s="55"/>
      <c r="P23" s="56"/>
    </row>
    <row r="24" spans="1:16">
      <c r="A24" s="1">
        <v>23</v>
      </c>
      <c r="B24" s="1">
        <v>2</v>
      </c>
      <c r="C24" s="1">
        <v>3</v>
      </c>
      <c r="D24">
        <f t="shared" si="0"/>
        <v>1</v>
      </c>
      <c r="I24" s="92" t="s">
        <v>46</v>
      </c>
      <c r="J24" s="93"/>
      <c r="K24" s="93"/>
      <c r="L24" s="17">
        <v>29</v>
      </c>
      <c r="O24" s="96" t="s">
        <v>129</v>
      </c>
      <c r="P24" s="98"/>
    </row>
    <row r="25" spans="1:16">
      <c r="A25" s="1">
        <v>24</v>
      </c>
      <c r="B25" s="1">
        <v>1</v>
      </c>
      <c r="C25" s="1">
        <v>2</v>
      </c>
      <c r="D25">
        <f t="shared" si="0"/>
        <v>1</v>
      </c>
      <c r="I25" s="92" t="str">
        <f>IF(K18="=","Lower Critical Value","Critical Value")</f>
        <v>Lower Critical Value</v>
      </c>
      <c r="J25" s="93"/>
      <c r="K25" s="93"/>
      <c r="L25" s="50">
        <f>IF(L20="Two",-(TINV(L22,L24)),IF(L20="Lower",-(TINV(L22*2,L24)),TINV(L22*2,L24)))</f>
        <v>-2.0452296421327048</v>
      </c>
      <c r="O25" s="5" t="s">
        <v>130</v>
      </c>
      <c r="P25" s="57">
        <f>P20/SQRT(P22)</f>
        <v>6.9378190617321048E-2</v>
      </c>
    </row>
    <row r="26" spans="1:16">
      <c r="A26" s="1">
        <v>25</v>
      </c>
      <c r="B26" s="1">
        <v>2</v>
      </c>
      <c r="C26" s="1">
        <v>2</v>
      </c>
      <c r="D26">
        <f t="shared" si="0"/>
        <v>0</v>
      </c>
      <c r="I26" s="86" t="str">
        <f>IF(K18="=","Upper Critical Value","")</f>
        <v>Upper Critical Value</v>
      </c>
      <c r="J26" s="87"/>
      <c r="K26" s="88"/>
      <c r="L26" s="21">
        <f>IF(K18="=",-L25,"")</f>
        <v>2.0452296421327048</v>
      </c>
      <c r="O26" s="5" t="s">
        <v>46</v>
      </c>
      <c r="P26" s="58">
        <f>P22-1</f>
        <v>29</v>
      </c>
    </row>
    <row r="27" spans="1:16">
      <c r="A27" s="1">
        <v>26</v>
      </c>
      <c r="B27" s="1">
        <v>2</v>
      </c>
      <c r="C27" s="1">
        <v>2</v>
      </c>
      <c r="D27">
        <f t="shared" si="0"/>
        <v>0</v>
      </c>
      <c r="I27" s="96" t="s">
        <v>119</v>
      </c>
      <c r="J27" s="97"/>
      <c r="K27" s="97"/>
      <c r="L27" s="98"/>
      <c r="O27" s="59" t="s">
        <v>131</v>
      </c>
      <c r="P27" s="57">
        <f>TINV(1-P17,P26)</f>
        <v>2.0452296421327034</v>
      </c>
    </row>
    <row r="28" spans="1:16">
      <c r="A28" s="1">
        <v>27</v>
      </c>
      <c r="B28" s="1">
        <v>3</v>
      </c>
      <c r="C28" s="1">
        <v>4</v>
      </c>
      <c r="D28">
        <f t="shared" si="0"/>
        <v>1</v>
      </c>
      <c r="I28" s="86" t="s">
        <v>120</v>
      </c>
      <c r="J28" s="87"/>
      <c r="K28" s="88"/>
      <c r="L28" s="9">
        <v>0.38</v>
      </c>
      <c r="O28" s="5" t="s">
        <v>132</v>
      </c>
      <c r="P28" s="57">
        <f>P27*P25</f>
        <v>0.14189433196807802</v>
      </c>
    </row>
    <row r="29" spans="1:16">
      <c r="A29" s="1">
        <v>28</v>
      </c>
      <c r="B29" s="1">
        <v>3</v>
      </c>
      <c r="C29" s="1">
        <v>3</v>
      </c>
      <c r="D29">
        <f t="shared" si="0"/>
        <v>0</v>
      </c>
      <c r="I29" s="86" t="s">
        <v>121</v>
      </c>
      <c r="J29" s="87"/>
      <c r="K29" s="88"/>
      <c r="L29" s="9">
        <v>0.17</v>
      </c>
      <c r="O29" s="60"/>
      <c r="P29" s="61"/>
    </row>
    <row r="30" spans="1:16">
      <c r="A30" s="1">
        <v>29</v>
      </c>
      <c r="B30" s="1">
        <v>4</v>
      </c>
      <c r="C30" s="1">
        <v>4</v>
      </c>
      <c r="D30">
        <f t="shared" si="0"/>
        <v>0</v>
      </c>
      <c r="I30" s="86" t="s">
        <v>51</v>
      </c>
      <c r="J30" s="87"/>
      <c r="K30" s="88"/>
      <c r="L30" s="9">
        <v>30</v>
      </c>
      <c r="O30" s="96" t="s">
        <v>133</v>
      </c>
      <c r="P30" s="98"/>
    </row>
    <row r="31" spans="1:16">
      <c r="A31" s="1">
        <v>30</v>
      </c>
      <c r="B31" s="1">
        <v>3</v>
      </c>
      <c r="C31" s="1">
        <v>3</v>
      </c>
      <c r="D31">
        <f t="shared" si="0"/>
        <v>0</v>
      </c>
      <c r="I31" s="83"/>
      <c r="J31" s="84"/>
      <c r="K31" s="84"/>
      <c r="L31" s="85"/>
      <c r="O31" s="5" t="s">
        <v>134</v>
      </c>
      <c r="P31" s="62">
        <f>P21-P28</f>
        <v>2.8105668031921993E-2</v>
      </c>
    </row>
    <row r="32" spans="1:16" ht="20" thickBot="1">
      <c r="D32" s="77">
        <f>AVERAGE(D2:D31)</f>
        <v>0.16666666666666666</v>
      </c>
      <c r="E32" s="78" t="s">
        <v>50</v>
      </c>
      <c r="I32" s="92" t="s">
        <v>54</v>
      </c>
      <c r="J32" s="93"/>
      <c r="K32" s="93"/>
      <c r="L32" s="21">
        <f>L28/SQRT(L30)</f>
        <v>6.9378190617321048E-2</v>
      </c>
      <c r="O32" s="63" t="s">
        <v>135</v>
      </c>
      <c r="P32" s="64">
        <f>P21+P28</f>
        <v>0.31189433196807803</v>
      </c>
    </row>
    <row r="33" spans="2:12" ht="19">
      <c r="D33" s="77">
        <f>_xlfn.STDEV.S(D2:D31)</f>
        <v>0.37904902178945171</v>
      </c>
      <c r="E33" s="78" t="s">
        <v>123</v>
      </c>
      <c r="I33" s="94" t="s">
        <v>55</v>
      </c>
      <c r="J33" s="95"/>
      <c r="K33" s="95"/>
      <c r="L33" s="51">
        <f>(L29-L18)/L32</f>
        <v>2.4503377572599536</v>
      </c>
    </row>
    <row r="34" spans="2:12">
      <c r="I34" s="92" t="s">
        <v>56</v>
      </c>
      <c r="J34" s="93"/>
      <c r="K34" s="93"/>
      <c r="L34" s="51">
        <f>IF(K18="=",TDIST(ABS(L33),L24,2),IF(L33*L25&gt;0,TDIST(ABS(L33),L24,1),1-TDIST(ABS(L33),L24,1)))</f>
        <v>2.0542784058228351E-2</v>
      </c>
    </row>
    <row r="35" spans="2:12">
      <c r="I35" s="83"/>
      <c r="J35" s="84"/>
      <c r="K35" s="84"/>
      <c r="L35" s="85"/>
    </row>
    <row r="36" spans="2:12">
      <c r="I36" s="96" t="s">
        <v>57</v>
      </c>
      <c r="J36" s="97"/>
      <c r="K36" s="97"/>
      <c r="L36" s="98"/>
    </row>
    <row r="37" spans="2:12" ht="16" thickBot="1">
      <c r="I37" s="89" t="str">
        <f>IF(L34&lt;L22,"Reject Null Hypothesis", "Fail to reject Null Hypothesis")</f>
        <v>Reject Null Hypothesis</v>
      </c>
      <c r="J37" s="90"/>
      <c r="K37" s="90"/>
      <c r="L37" s="91"/>
    </row>
    <row r="39" spans="2:12" ht="16">
      <c r="B39" s="124" t="s">
        <v>152</v>
      </c>
      <c r="C39" s="124"/>
      <c r="D39" s="124"/>
      <c r="E39" s="124"/>
    </row>
    <row r="40" spans="2:12">
      <c r="B40" s="68" t="s">
        <v>22</v>
      </c>
      <c r="C40" s="68" t="s">
        <v>149</v>
      </c>
      <c r="D40" s="68" t="s">
        <v>23</v>
      </c>
      <c r="E40" s="68" t="s">
        <v>150</v>
      </c>
    </row>
    <row r="41" spans="2:12">
      <c r="B41" s="24" t="s">
        <v>137</v>
      </c>
      <c r="C41" s="24">
        <v>2.5666666666666669</v>
      </c>
      <c r="D41" s="24" t="s">
        <v>137</v>
      </c>
      <c r="E41" s="24">
        <v>2.7333333333333334</v>
      </c>
    </row>
    <row r="42" spans="2:12">
      <c r="B42" s="24" t="s">
        <v>138</v>
      </c>
      <c r="C42" s="24">
        <v>0.17735822139759413</v>
      </c>
      <c r="D42" s="24" t="s">
        <v>138</v>
      </c>
      <c r="E42" s="24">
        <v>0.17897109079679929</v>
      </c>
    </row>
    <row r="43" spans="2:12">
      <c r="B43" s="24" t="s">
        <v>139</v>
      </c>
      <c r="C43" s="24">
        <v>2.5</v>
      </c>
      <c r="D43" s="24" t="s">
        <v>139</v>
      </c>
      <c r="E43" s="24">
        <v>3</v>
      </c>
    </row>
    <row r="44" spans="2:12">
      <c r="B44" s="24" t="s">
        <v>140</v>
      </c>
      <c r="C44" s="24">
        <v>2</v>
      </c>
      <c r="D44" s="24" t="s">
        <v>140</v>
      </c>
      <c r="E44" s="24">
        <v>2</v>
      </c>
    </row>
    <row r="45" spans="2:12">
      <c r="B45" s="24" t="s">
        <v>141</v>
      </c>
      <c r="C45" s="24">
        <v>0.97143098618457735</v>
      </c>
      <c r="D45" s="24" t="s">
        <v>141</v>
      </c>
      <c r="E45" s="24">
        <v>0.98026503570712209</v>
      </c>
    </row>
    <row r="46" spans="2:12">
      <c r="B46" s="24" t="s">
        <v>142</v>
      </c>
      <c r="C46" s="24">
        <v>0.94367816091954049</v>
      </c>
      <c r="D46" s="24" t="s">
        <v>142</v>
      </c>
      <c r="E46" s="24">
        <v>0.96091954022988535</v>
      </c>
    </row>
    <row r="47" spans="2:12">
      <c r="B47" s="24" t="s">
        <v>143</v>
      </c>
      <c r="C47" s="24">
        <v>-0.91401604014338256</v>
      </c>
      <c r="D47" s="24" t="s">
        <v>143</v>
      </c>
      <c r="E47" s="24">
        <v>-1.0122168186887399</v>
      </c>
    </row>
    <row r="48" spans="2:12">
      <c r="B48" s="24" t="s">
        <v>144</v>
      </c>
      <c r="C48" s="24">
        <v>4.1018741627533307E-2</v>
      </c>
      <c r="D48" s="24" t="s">
        <v>144</v>
      </c>
      <c r="E48" s="24">
        <v>-0.12307132355519677</v>
      </c>
    </row>
    <row r="49" spans="2:5">
      <c r="B49" s="24" t="s">
        <v>145</v>
      </c>
      <c r="C49" s="24">
        <v>3</v>
      </c>
      <c r="D49" s="24" t="s">
        <v>145</v>
      </c>
      <c r="E49" s="24">
        <v>3</v>
      </c>
    </row>
    <row r="50" spans="2:5">
      <c r="B50" s="24" t="s">
        <v>146</v>
      </c>
      <c r="C50" s="24">
        <v>1</v>
      </c>
      <c r="D50" s="24" t="s">
        <v>146</v>
      </c>
      <c r="E50" s="24">
        <v>1</v>
      </c>
    </row>
    <row r="51" spans="2:5">
      <c r="B51" s="24" t="s">
        <v>147</v>
      </c>
      <c r="C51" s="24">
        <v>4</v>
      </c>
      <c r="D51" s="24" t="s">
        <v>147</v>
      </c>
      <c r="E51" s="24">
        <v>4</v>
      </c>
    </row>
    <row r="52" spans="2:5">
      <c r="B52" s="24" t="s">
        <v>67</v>
      </c>
      <c r="C52" s="24">
        <v>77</v>
      </c>
      <c r="D52" s="24" t="s">
        <v>67</v>
      </c>
      <c r="E52" s="24">
        <v>82</v>
      </c>
    </row>
    <row r="53" spans="2:5">
      <c r="B53" s="24" t="s">
        <v>66</v>
      </c>
      <c r="C53" s="24">
        <v>30</v>
      </c>
      <c r="D53" s="24" t="s">
        <v>66</v>
      </c>
      <c r="E53" s="24">
        <v>30</v>
      </c>
    </row>
  </sheetData>
  <mergeCells count="24">
    <mergeCell ref="O16:P16"/>
    <mergeCell ref="O19:P19"/>
    <mergeCell ref="O24:P24"/>
    <mergeCell ref="O30:P30"/>
    <mergeCell ref="I31:L31"/>
    <mergeCell ref="I32:K32"/>
    <mergeCell ref="I33:K33"/>
    <mergeCell ref="I34:K34"/>
    <mergeCell ref="B39:E39"/>
    <mergeCell ref="I30:K30"/>
    <mergeCell ref="I15:L15"/>
    <mergeCell ref="I16:L16"/>
    <mergeCell ref="I17:L17"/>
    <mergeCell ref="I21:L21"/>
    <mergeCell ref="I23:L23"/>
    <mergeCell ref="I24:K24"/>
    <mergeCell ref="I25:K25"/>
    <mergeCell ref="I26:K26"/>
    <mergeCell ref="I27:L27"/>
    <mergeCell ref="I28:K28"/>
    <mergeCell ref="I29:K29"/>
    <mergeCell ref="I35:L35"/>
    <mergeCell ref="I36:L36"/>
    <mergeCell ref="I37:L37"/>
  </mergeCells>
  <conditionalFormatting sqref="L26">
    <cfRule type="cellIs" dxfId="0" priority="1" stopIfTrue="1" operator="notEqual">
      <formula>""</formula>
    </cfRule>
  </conditionalFormatting>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38234-D039-AA4B-864B-783B600FB07D}">
  <dimension ref="A1:N79"/>
  <sheetViews>
    <sheetView tabSelected="1" zoomScale="75" workbookViewId="0">
      <selection activeCell="C10" sqref="C10"/>
    </sheetView>
  </sheetViews>
  <sheetFormatPr baseColWidth="10" defaultRowHeight="15"/>
  <cols>
    <col min="1" max="1" width="13" bestFit="1" customWidth="1"/>
    <col min="2" max="2" width="27.83203125" customWidth="1"/>
    <col min="3" max="3" width="20.83203125" customWidth="1"/>
    <col min="4" max="4" width="24.6640625" customWidth="1"/>
    <col min="5" max="5" width="18.5" customWidth="1"/>
    <col min="6" max="6" width="46.6640625" bestFit="1" customWidth="1"/>
    <col min="7" max="7" width="18" customWidth="1"/>
    <col min="8" max="8" width="17.6640625" bestFit="1" customWidth="1"/>
    <col min="9" max="9" width="16" bestFit="1" customWidth="1"/>
    <col min="10" max="10" width="10" bestFit="1" customWidth="1"/>
  </cols>
  <sheetData>
    <row r="1" spans="1:10">
      <c r="A1" s="65" t="s">
        <v>25</v>
      </c>
      <c r="B1" s="65" t="s">
        <v>3</v>
      </c>
      <c r="C1" s="65" t="s">
        <v>26</v>
      </c>
    </row>
    <row r="2" spans="1:10">
      <c r="A2" s="1" t="s">
        <v>29</v>
      </c>
      <c r="B2" s="1">
        <v>1</v>
      </c>
      <c r="C2" s="1" t="s">
        <v>11</v>
      </c>
    </row>
    <row r="3" spans="1:10">
      <c r="A3" s="1" t="s">
        <v>30</v>
      </c>
      <c r="B3" s="1">
        <v>1</v>
      </c>
      <c r="C3" s="1" t="s">
        <v>11</v>
      </c>
    </row>
    <row r="4" spans="1:10">
      <c r="A4" s="1" t="s">
        <v>30</v>
      </c>
      <c r="B4" s="1">
        <v>1</v>
      </c>
      <c r="C4" s="1" t="s">
        <v>11</v>
      </c>
    </row>
    <row r="5" spans="1:10">
      <c r="A5" s="1" t="s">
        <v>30</v>
      </c>
      <c r="B5" s="1">
        <v>1</v>
      </c>
      <c r="C5" s="1" t="s">
        <v>11</v>
      </c>
    </row>
    <row r="6" spans="1:10">
      <c r="A6" s="1" t="s">
        <v>29</v>
      </c>
      <c r="B6" s="1">
        <v>1</v>
      </c>
      <c r="C6" s="1" t="s">
        <v>14</v>
      </c>
    </row>
    <row r="7" spans="1:10">
      <c r="A7" s="1" t="s">
        <v>29</v>
      </c>
      <c r="B7" s="1">
        <v>1</v>
      </c>
      <c r="C7" s="1" t="s">
        <v>14</v>
      </c>
    </row>
    <row r="8" spans="1:10">
      <c r="A8" s="1" t="s">
        <v>29</v>
      </c>
      <c r="B8" s="1">
        <v>1</v>
      </c>
      <c r="C8" s="1" t="s">
        <v>11</v>
      </c>
    </row>
    <row r="9" spans="1:10">
      <c r="A9" s="1" t="s">
        <v>30</v>
      </c>
      <c r="B9" s="1">
        <v>1</v>
      </c>
      <c r="C9" s="1" t="s">
        <v>14</v>
      </c>
      <c r="F9" s="26" t="s">
        <v>136</v>
      </c>
      <c r="G9" s="26" t="s">
        <v>84</v>
      </c>
    </row>
    <row r="10" spans="1:10">
      <c r="A10" s="1" t="s">
        <v>30</v>
      </c>
      <c r="B10" s="1">
        <v>1</v>
      </c>
      <c r="C10" s="1" t="s">
        <v>11</v>
      </c>
      <c r="F10" s="26" t="s">
        <v>82</v>
      </c>
      <c r="G10" t="s">
        <v>29</v>
      </c>
      <c r="H10" t="s">
        <v>31</v>
      </c>
      <c r="I10" t="s">
        <v>30</v>
      </c>
      <c r="J10" t="s">
        <v>83</v>
      </c>
    </row>
    <row r="11" spans="1:10">
      <c r="A11" s="1" t="s">
        <v>30</v>
      </c>
      <c r="B11" s="1">
        <v>1</v>
      </c>
      <c r="C11" s="1" t="s">
        <v>11</v>
      </c>
      <c r="F11" s="27" t="s">
        <v>14</v>
      </c>
      <c r="G11">
        <v>10</v>
      </c>
      <c r="H11">
        <v>4</v>
      </c>
      <c r="I11">
        <v>3</v>
      </c>
      <c r="J11">
        <v>17</v>
      </c>
    </row>
    <row r="12" spans="1:10">
      <c r="A12" s="1" t="s">
        <v>29</v>
      </c>
      <c r="B12" s="1">
        <v>1</v>
      </c>
      <c r="C12" s="1" t="s">
        <v>11</v>
      </c>
      <c r="F12" s="27" t="s">
        <v>11</v>
      </c>
      <c r="G12">
        <v>12</v>
      </c>
      <c r="H12">
        <v>18</v>
      </c>
      <c r="I12">
        <v>19</v>
      </c>
      <c r="J12">
        <v>49</v>
      </c>
    </row>
    <row r="13" spans="1:10">
      <c r="A13" s="1" t="s">
        <v>30</v>
      </c>
      <c r="B13" s="1">
        <v>1</v>
      </c>
      <c r="C13" s="1" t="s">
        <v>11</v>
      </c>
      <c r="F13" s="27" t="s">
        <v>83</v>
      </c>
      <c r="G13">
        <v>22</v>
      </c>
      <c r="H13">
        <v>22</v>
      </c>
      <c r="I13">
        <v>22</v>
      </c>
      <c r="J13">
        <v>66</v>
      </c>
    </row>
    <row r="14" spans="1:10">
      <c r="A14" s="1" t="s">
        <v>30</v>
      </c>
      <c r="B14" s="1">
        <v>1</v>
      </c>
      <c r="C14" s="1" t="s">
        <v>11</v>
      </c>
    </row>
    <row r="15" spans="1:10">
      <c r="A15" s="1" t="s">
        <v>29</v>
      </c>
      <c r="B15" s="1">
        <v>1</v>
      </c>
      <c r="C15" s="1" t="s">
        <v>11</v>
      </c>
    </row>
    <row r="16" spans="1:10">
      <c r="A16" s="1" t="s">
        <v>29</v>
      </c>
      <c r="B16" s="1">
        <v>1</v>
      </c>
      <c r="C16" s="1" t="s">
        <v>11</v>
      </c>
    </row>
    <row r="17" spans="1:3">
      <c r="A17" s="1" t="s">
        <v>29</v>
      </c>
      <c r="B17" s="1">
        <v>1</v>
      </c>
      <c r="C17" s="1" t="s">
        <v>11</v>
      </c>
    </row>
    <row r="18" spans="1:3">
      <c r="A18" s="1" t="s">
        <v>29</v>
      </c>
      <c r="B18" s="1">
        <v>1</v>
      </c>
      <c r="C18" s="1" t="s">
        <v>14</v>
      </c>
    </row>
    <row r="19" spans="1:3">
      <c r="A19" s="1" t="s">
        <v>30</v>
      </c>
      <c r="B19" s="1">
        <v>1</v>
      </c>
      <c r="C19" s="1" t="s">
        <v>11</v>
      </c>
    </row>
    <row r="20" spans="1:3">
      <c r="A20" s="1" t="s">
        <v>29</v>
      </c>
      <c r="B20" s="1">
        <v>1</v>
      </c>
      <c r="C20" s="1" t="s">
        <v>11</v>
      </c>
    </row>
    <row r="21" spans="1:3">
      <c r="A21" s="1" t="s">
        <v>30</v>
      </c>
      <c r="B21" s="1">
        <v>1</v>
      </c>
      <c r="C21" s="1" t="s">
        <v>14</v>
      </c>
    </row>
    <row r="22" spans="1:3">
      <c r="A22" s="1" t="s">
        <v>29</v>
      </c>
      <c r="B22" s="1">
        <v>1</v>
      </c>
      <c r="C22" s="1" t="s">
        <v>14</v>
      </c>
    </row>
    <row r="23" spans="1:3">
      <c r="A23" s="1" t="s">
        <v>29</v>
      </c>
      <c r="B23" s="1">
        <v>1</v>
      </c>
      <c r="C23" s="1" t="s">
        <v>11</v>
      </c>
    </row>
    <row r="24" spans="1:3">
      <c r="A24" s="1" t="s">
        <v>31</v>
      </c>
      <c r="B24" s="1">
        <v>1</v>
      </c>
      <c r="C24" s="1" t="s">
        <v>11</v>
      </c>
    </row>
    <row r="25" spans="1:3">
      <c r="A25" s="1" t="s">
        <v>29</v>
      </c>
      <c r="B25" s="1">
        <v>1</v>
      </c>
      <c r="C25" s="1" t="s">
        <v>14</v>
      </c>
    </row>
    <row r="26" spans="1:3">
      <c r="A26" s="1" t="s">
        <v>30</v>
      </c>
      <c r="B26" s="1">
        <v>1</v>
      </c>
      <c r="C26" s="1" t="s">
        <v>11</v>
      </c>
    </row>
    <row r="27" spans="1:3">
      <c r="A27" s="1" t="s">
        <v>31</v>
      </c>
      <c r="B27" s="1">
        <v>1</v>
      </c>
      <c r="C27" s="1" t="s">
        <v>11</v>
      </c>
    </row>
    <row r="28" spans="1:3">
      <c r="A28" s="1" t="s">
        <v>31</v>
      </c>
      <c r="B28" s="1">
        <v>1</v>
      </c>
      <c r="C28" s="1" t="s">
        <v>11</v>
      </c>
    </row>
    <row r="29" spans="1:3">
      <c r="A29" s="1" t="s">
        <v>30</v>
      </c>
      <c r="B29" s="1">
        <v>1</v>
      </c>
      <c r="C29" s="1" t="s">
        <v>11</v>
      </c>
    </row>
    <row r="30" spans="1:3">
      <c r="A30" s="1" t="s">
        <v>31</v>
      </c>
      <c r="B30" s="1">
        <v>1</v>
      </c>
      <c r="C30" s="1" t="s">
        <v>14</v>
      </c>
    </row>
    <row r="31" spans="1:3">
      <c r="A31" s="1" t="s">
        <v>31</v>
      </c>
      <c r="B31" s="1">
        <v>1</v>
      </c>
      <c r="C31" s="1" t="s">
        <v>11</v>
      </c>
    </row>
    <row r="32" spans="1:3">
      <c r="A32" s="1" t="s">
        <v>31</v>
      </c>
      <c r="B32" s="1">
        <v>1</v>
      </c>
      <c r="C32" s="1" t="s">
        <v>11</v>
      </c>
    </row>
    <row r="33" spans="1:14">
      <c r="A33" s="1" t="s">
        <v>29</v>
      </c>
      <c r="B33" s="1">
        <v>1</v>
      </c>
      <c r="C33" s="1" t="s">
        <v>14</v>
      </c>
      <c r="F33" s="29" t="s">
        <v>86</v>
      </c>
      <c r="G33" s="30"/>
      <c r="H33" s="30"/>
      <c r="I33" s="30"/>
      <c r="J33" s="30"/>
      <c r="K33" s="30"/>
      <c r="L33" s="30"/>
      <c r="M33" s="30"/>
      <c r="N33" s="30"/>
    </row>
    <row r="34" spans="1:14">
      <c r="A34" s="1" t="s">
        <v>29</v>
      </c>
      <c r="B34" s="1">
        <v>1</v>
      </c>
      <c r="C34" s="1" t="s">
        <v>14</v>
      </c>
      <c r="F34" s="30"/>
      <c r="G34" s="30"/>
      <c r="H34" s="30"/>
      <c r="I34" s="30"/>
      <c r="J34" s="30"/>
      <c r="K34" s="30"/>
      <c r="L34" s="30"/>
      <c r="M34" s="30"/>
      <c r="N34" s="30"/>
    </row>
    <row r="35" spans="1:14">
      <c r="A35" s="1" t="s">
        <v>30</v>
      </c>
      <c r="B35" s="1">
        <v>1</v>
      </c>
      <c r="C35" s="1" t="s">
        <v>11</v>
      </c>
      <c r="F35" s="125" t="s">
        <v>87</v>
      </c>
      <c r="G35" s="125"/>
      <c r="H35" s="125"/>
      <c r="I35" s="125"/>
      <c r="J35" s="125"/>
      <c r="K35" s="30"/>
      <c r="L35" s="30"/>
      <c r="M35" s="30"/>
      <c r="N35" s="30"/>
    </row>
    <row r="36" spans="1:14">
      <c r="A36" s="1" t="s">
        <v>31</v>
      </c>
      <c r="B36" s="1">
        <v>1</v>
      </c>
      <c r="C36" s="1" t="s">
        <v>14</v>
      </c>
      <c r="F36" s="31"/>
      <c r="G36" s="111" t="s">
        <v>88</v>
      </c>
      <c r="H36" s="112"/>
      <c r="I36" s="112"/>
      <c r="J36" s="113"/>
      <c r="K36" s="30"/>
      <c r="L36" s="30" t="s">
        <v>89</v>
      </c>
      <c r="M36" s="30"/>
      <c r="N36" s="30"/>
    </row>
    <row r="37" spans="1:14">
      <c r="A37" s="1" t="s">
        <v>31</v>
      </c>
      <c r="B37" s="1">
        <v>1</v>
      </c>
      <c r="C37" s="1" t="s">
        <v>14</v>
      </c>
      <c r="F37" s="32" t="s">
        <v>90</v>
      </c>
      <c r="G37" s="28" t="s">
        <v>29</v>
      </c>
      <c r="H37" s="28" t="s">
        <v>31</v>
      </c>
      <c r="I37" s="28" t="s">
        <v>30</v>
      </c>
      <c r="J37" s="33" t="s">
        <v>80</v>
      </c>
      <c r="K37" s="30"/>
      <c r="L37" s="109" t="s">
        <v>91</v>
      </c>
      <c r="M37" s="109"/>
      <c r="N37" s="109"/>
    </row>
    <row r="38" spans="1:14">
      <c r="A38" s="1" t="s">
        <v>30</v>
      </c>
      <c r="B38" s="1">
        <v>1</v>
      </c>
      <c r="C38" s="1" t="s">
        <v>14</v>
      </c>
      <c r="F38" s="27" t="s">
        <v>14</v>
      </c>
      <c r="G38">
        <v>10</v>
      </c>
      <c r="H38">
        <v>4</v>
      </c>
      <c r="I38">
        <v>3</v>
      </c>
      <c r="J38" s="35">
        <f>SUM(G38:I38)</f>
        <v>17</v>
      </c>
      <c r="K38" s="30"/>
      <c r="L38" s="36">
        <f t="shared" ref="L38:N39" si="0">G38 - G45</f>
        <v>4.333333333333333</v>
      </c>
      <c r="M38" s="36">
        <f t="shared" si="0"/>
        <v>-1.666666666666667</v>
      </c>
      <c r="N38" s="30">
        <f t="shared" si="0"/>
        <v>-2.666666666666667</v>
      </c>
    </row>
    <row r="39" spans="1:14">
      <c r="A39" s="1" t="s">
        <v>29</v>
      </c>
      <c r="B39" s="1">
        <v>1</v>
      </c>
      <c r="C39" s="1" t="s">
        <v>11</v>
      </c>
      <c r="F39" s="27" t="s">
        <v>11</v>
      </c>
      <c r="G39">
        <v>12</v>
      </c>
      <c r="H39">
        <v>18</v>
      </c>
      <c r="I39">
        <v>19</v>
      </c>
      <c r="J39" s="35">
        <f>SUM(G39:I39)</f>
        <v>49</v>
      </c>
      <c r="K39" s="30"/>
      <c r="L39" s="36">
        <f t="shared" si="0"/>
        <v>-4.3333333333333321</v>
      </c>
      <c r="M39" s="36">
        <f t="shared" si="0"/>
        <v>1.6666666666666679</v>
      </c>
      <c r="N39" s="30">
        <f t="shared" si="0"/>
        <v>2.6666666666666679</v>
      </c>
    </row>
    <row r="40" spans="1:14">
      <c r="A40" s="1" t="s">
        <v>31</v>
      </c>
      <c r="B40" s="1">
        <v>1</v>
      </c>
      <c r="C40" s="1" t="s">
        <v>11</v>
      </c>
      <c r="F40" s="37" t="s">
        <v>80</v>
      </c>
      <c r="G40" s="35">
        <f>SUM(G38:G39)</f>
        <v>22</v>
      </c>
      <c r="H40" s="35">
        <f>SUM(H38:H39)</f>
        <v>22</v>
      </c>
      <c r="I40" s="35">
        <f>SUM(I38:I39)</f>
        <v>22</v>
      </c>
      <c r="J40" s="35">
        <f>SUM(G40:I40)</f>
        <v>66</v>
      </c>
      <c r="K40" s="30"/>
      <c r="L40" s="30"/>
      <c r="M40" s="30"/>
      <c r="N40" s="30"/>
    </row>
    <row r="41" spans="1:14">
      <c r="A41" s="1" t="s">
        <v>30</v>
      </c>
      <c r="B41" s="1">
        <v>1</v>
      </c>
      <c r="C41" s="1" t="s">
        <v>11</v>
      </c>
      <c r="F41" s="30"/>
      <c r="G41" s="30"/>
      <c r="H41" s="30"/>
      <c r="I41" s="30"/>
      <c r="J41" s="30"/>
      <c r="K41" s="30"/>
      <c r="L41" s="30"/>
      <c r="M41" s="30"/>
      <c r="N41" s="30"/>
    </row>
    <row r="42" spans="1:14">
      <c r="A42" s="1" t="s">
        <v>31</v>
      </c>
      <c r="B42" s="1">
        <v>1</v>
      </c>
      <c r="C42" s="1" t="s">
        <v>11</v>
      </c>
      <c r="F42" s="114" t="s">
        <v>92</v>
      </c>
      <c r="G42" s="114"/>
      <c r="H42" s="114"/>
      <c r="I42" s="114"/>
      <c r="J42" s="114"/>
      <c r="K42" s="30"/>
      <c r="L42" s="30"/>
      <c r="M42" s="30"/>
      <c r="N42" s="30"/>
    </row>
    <row r="43" spans="1:14">
      <c r="A43" s="1" t="s">
        <v>31</v>
      </c>
      <c r="B43" s="1">
        <v>1</v>
      </c>
      <c r="C43" s="1" t="s">
        <v>11</v>
      </c>
      <c r="F43" s="31"/>
      <c r="G43" s="115" t="str">
        <f>G36</f>
        <v>Column variable</v>
      </c>
      <c r="H43" s="116"/>
      <c r="I43" s="117"/>
      <c r="J43" s="35"/>
      <c r="K43" s="30"/>
      <c r="L43" s="30"/>
      <c r="M43" s="30"/>
      <c r="N43" s="30"/>
    </row>
    <row r="44" spans="1:14">
      <c r="A44" s="1" t="s">
        <v>30</v>
      </c>
      <c r="B44" s="1">
        <v>1</v>
      </c>
      <c r="C44" s="1" t="s">
        <v>11</v>
      </c>
      <c r="F44" s="33" t="str">
        <f>F37</f>
        <v>Row variable</v>
      </c>
      <c r="G44" s="38" t="str">
        <f>G37</f>
        <v>Control</v>
      </c>
      <c r="H44" s="38" t="str">
        <f>H37</f>
        <v>Experiential Program</v>
      </c>
      <c r="I44" s="38" t="str">
        <f>I37</f>
        <v>Mentoring program</v>
      </c>
      <c r="J44" s="38" t="s">
        <v>80</v>
      </c>
      <c r="K44" s="30"/>
      <c r="L44" s="109" t="s">
        <v>93</v>
      </c>
      <c r="M44" s="109"/>
      <c r="N44" s="109"/>
    </row>
    <row r="45" spans="1:14">
      <c r="A45" s="1" t="s">
        <v>31</v>
      </c>
      <c r="B45" s="1">
        <v>1</v>
      </c>
      <c r="C45" s="1" t="s">
        <v>14</v>
      </c>
      <c r="F45" s="37" t="str">
        <f>F38</f>
        <v>No</v>
      </c>
      <c r="G45" s="81">
        <f>J38 * G40/J40</f>
        <v>5.666666666666667</v>
      </c>
      <c r="H45" s="81">
        <f>J38 * H40/J40</f>
        <v>5.666666666666667</v>
      </c>
      <c r="I45" s="81">
        <f>J38 * I40/J40</f>
        <v>5.666666666666667</v>
      </c>
      <c r="J45" s="35">
        <f>SUM(G45:I45)</f>
        <v>17</v>
      </c>
      <c r="K45" s="30"/>
      <c r="L45" s="36">
        <f t="shared" ref="L45:N46" si="1">L38^2/G45</f>
        <v>3.3137254901960778</v>
      </c>
      <c r="M45" s="36">
        <f t="shared" si="1"/>
        <v>0.49019607843137264</v>
      </c>
      <c r="N45" s="36">
        <f t="shared" si="1"/>
        <v>1.2549019607843139</v>
      </c>
    </row>
    <row r="46" spans="1:14">
      <c r="A46" s="1" t="s">
        <v>29</v>
      </c>
      <c r="B46" s="1">
        <v>1</v>
      </c>
      <c r="C46" s="1" t="s">
        <v>14</v>
      </c>
      <c r="F46" s="37" t="str">
        <f>F39</f>
        <v>Yes</v>
      </c>
      <c r="G46" s="81">
        <f>J39 * G40/J40</f>
        <v>16.333333333333332</v>
      </c>
      <c r="H46" s="81">
        <f>J39 * H40/J40</f>
        <v>16.333333333333332</v>
      </c>
      <c r="I46" s="81">
        <f>J39 * I40/J40</f>
        <v>16.333333333333332</v>
      </c>
      <c r="J46" s="35">
        <f>SUM(G46:I46)</f>
        <v>49</v>
      </c>
      <c r="K46" s="30"/>
      <c r="L46" s="36">
        <f t="shared" si="1"/>
        <v>1.1496598639455777</v>
      </c>
      <c r="M46" s="36">
        <f t="shared" si="1"/>
        <v>0.1700680272108846</v>
      </c>
      <c r="N46" s="36">
        <f t="shared" si="1"/>
        <v>0.43537414965986437</v>
      </c>
    </row>
    <row r="47" spans="1:14">
      <c r="A47" s="1" t="s">
        <v>29</v>
      </c>
      <c r="B47" s="1">
        <v>1</v>
      </c>
      <c r="C47" s="1" t="s">
        <v>11</v>
      </c>
      <c r="F47" s="37" t="s">
        <v>80</v>
      </c>
      <c r="G47" s="35">
        <f>SUM(G45:G46)</f>
        <v>22</v>
      </c>
      <c r="H47" s="35">
        <f>SUM(H45:H46)</f>
        <v>22</v>
      </c>
      <c r="I47" s="35">
        <f>SUM(I45:I46)</f>
        <v>22</v>
      </c>
      <c r="J47" s="35">
        <f>SUM(G47:I47)</f>
        <v>66</v>
      </c>
      <c r="K47" s="30"/>
      <c r="L47" s="30"/>
      <c r="M47" s="30"/>
      <c r="N47" s="30"/>
    </row>
    <row r="48" spans="1:14">
      <c r="A48" s="1" t="s">
        <v>30</v>
      </c>
      <c r="B48" s="1">
        <v>1</v>
      </c>
      <c r="C48" s="1" t="s">
        <v>11</v>
      </c>
      <c r="F48" s="30"/>
      <c r="G48" s="30"/>
      <c r="H48" s="30"/>
      <c r="I48" s="30"/>
      <c r="J48" s="30"/>
      <c r="K48" s="30"/>
      <c r="L48" s="30"/>
      <c r="M48" s="30"/>
      <c r="N48" s="30"/>
    </row>
    <row r="49" spans="1:14">
      <c r="A49" s="1" t="s">
        <v>29</v>
      </c>
      <c r="B49" s="1">
        <v>1</v>
      </c>
      <c r="C49" s="1" t="s">
        <v>11</v>
      </c>
      <c r="F49" s="118" t="s">
        <v>94</v>
      </c>
      <c r="G49" s="118"/>
      <c r="H49" s="30"/>
      <c r="I49" s="30"/>
      <c r="J49" s="30"/>
      <c r="K49" s="30"/>
      <c r="L49" s="30"/>
      <c r="M49" s="30"/>
      <c r="N49" s="30"/>
    </row>
    <row r="50" spans="1:14">
      <c r="A50" s="1" t="s">
        <v>31</v>
      </c>
      <c r="B50" s="1">
        <v>1</v>
      </c>
      <c r="C50" s="1" t="s">
        <v>11</v>
      </c>
      <c r="F50" s="40" t="s">
        <v>95</v>
      </c>
      <c r="G50" s="34">
        <v>0.05</v>
      </c>
      <c r="H50" s="30"/>
      <c r="I50" s="30"/>
      <c r="J50" s="30"/>
      <c r="K50" s="30"/>
      <c r="L50" s="30"/>
      <c r="M50" s="30"/>
      <c r="N50" s="30"/>
    </row>
    <row r="51" spans="1:14">
      <c r="A51" s="1" t="s">
        <v>30</v>
      </c>
      <c r="B51" s="1">
        <v>1</v>
      </c>
      <c r="C51" s="1" t="s">
        <v>11</v>
      </c>
      <c r="F51" s="41" t="s">
        <v>96</v>
      </c>
      <c r="G51" s="41">
        <v>2</v>
      </c>
      <c r="H51" s="30"/>
      <c r="I51" s="30"/>
      <c r="J51" s="30"/>
      <c r="K51" s="30"/>
      <c r="L51" s="30"/>
      <c r="M51" s="30"/>
      <c r="N51" s="30"/>
    </row>
    <row r="52" spans="1:14">
      <c r="A52" s="1" t="s">
        <v>30</v>
      </c>
      <c r="B52" s="1">
        <v>1</v>
      </c>
      <c r="C52" s="1" t="s">
        <v>11</v>
      </c>
      <c r="F52" s="41" t="s">
        <v>97</v>
      </c>
      <c r="G52" s="41">
        <v>3</v>
      </c>
      <c r="H52" s="30"/>
      <c r="I52" s="30"/>
      <c r="J52" s="30"/>
      <c r="K52" s="30"/>
      <c r="L52" s="30"/>
      <c r="M52" s="30"/>
      <c r="N52" s="30"/>
    </row>
    <row r="53" spans="1:14">
      <c r="A53" s="1" t="s">
        <v>31</v>
      </c>
      <c r="B53" s="1">
        <v>1</v>
      </c>
      <c r="C53" s="1" t="s">
        <v>11</v>
      </c>
      <c r="F53" s="41" t="s">
        <v>46</v>
      </c>
      <c r="G53" s="41">
        <f>(G51 - 1) * (G52 - 1)</f>
        <v>2</v>
      </c>
      <c r="H53" s="30"/>
      <c r="I53" s="30"/>
      <c r="J53" s="30"/>
      <c r="K53" s="30"/>
      <c r="L53" s="30"/>
      <c r="M53" s="30"/>
      <c r="N53" s="30"/>
    </row>
    <row r="54" spans="1:14">
      <c r="A54" s="1" t="s">
        <v>30</v>
      </c>
      <c r="B54" s="1">
        <v>1</v>
      </c>
      <c r="C54" s="1" t="s">
        <v>11</v>
      </c>
      <c r="F54" s="30"/>
      <c r="G54" s="30"/>
      <c r="H54" s="30"/>
      <c r="I54" s="30"/>
      <c r="J54" s="30"/>
      <c r="K54" s="30"/>
      <c r="L54" s="30"/>
      <c r="M54" s="30"/>
      <c r="N54" s="30"/>
    </row>
    <row r="55" spans="1:14">
      <c r="A55" s="1" t="s">
        <v>31</v>
      </c>
      <c r="B55" s="1">
        <v>1</v>
      </c>
      <c r="C55" s="1" t="s">
        <v>11</v>
      </c>
      <c r="F55" s="119" t="s">
        <v>98</v>
      </c>
      <c r="G55" s="119"/>
      <c r="H55" s="30"/>
      <c r="I55" s="42"/>
      <c r="J55" s="30"/>
      <c r="K55" s="30"/>
      <c r="L55" s="30"/>
      <c r="M55" s="30"/>
      <c r="N55" s="30"/>
    </row>
    <row r="56" spans="1:14">
      <c r="A56" s="1" t="s">
        <v>31</v>
      </c>
      <c r="B56" s="1">
        <v>1</v>
      </c>
      <c r="C56" s="1" t="s">
        <v>11</v>
      </c>
      <c r="F56" s="43" t="s">
        <v>99</v>
      </c>
      <c r="G56" s="80">
        <f>CHIINV(G50, G53)</f>
        <v>5.9914645471079817</v>
      </c>
      <c r="H56" s="30"/>
      <c r="I56" s="30"/>
      <c r="J56" s="30"/>
      <c r="K56" s="30"/>
      <c r="L56" s="30"/>
      <c r="M56" s="30"/>
      <c r="N56" s="30"/>
    </row>
    <row r="57" spans="1:14">
      <c r="A57" s="1" t="s">
        <v>31</v>
      </c>
      <c r="B57" s="1">
        <v>1</v>
      </c>
      <c r="C57" s="1" t="s">
        <v>11</v>
      </c>
      <c r="F57" s="43" t="s">
        <v>100</v>
      </c>
      <c r="G57" s="80">
        <f>SUM(L45:N46)</f>
        <v>6.8139255702280916</v>
      </c>
      <c r="H57" s="30"/>
      <c r="I57" s="30"/>
      <c r="J57" s="30"/>
      <c r="K57" s="30"/>
      <c r="L57" s="30"/>
      <c r="M57" s="30"/>
      <c r="N57" s="30"/>
    </row>
    <row r="58" spans="1:14">
      <c r="A58" s="1" t="s">
        <v>29</v>
      </c>
      <c r="B58" s="1">
        <v>1</v>
      </c>
      <c r="C58" s="1" t="s">
        <v>14</v>
      </c>
      <c r="F58" s="45" t="s">
        <v>101</v>
      </c>
      <c r="G58" s="80">
        <f>CHIDIST(G57, G53)</f>
        <v>3.3141706153078605E-2</v>
      </c>
      <c r="H58" s="30"/>
      <c r="I58" s="30"/>
      <c r="J58" s="30"/>
      <c r="K58" s="30"/>
      <c r="L58" s="30"/>
      <c r="M58" s="30"/>
      <c r="N58" s="30"/>
    </row>
    <row r="59" spans="1:14">
      <c r="A59" s="1" t="s">
        <v>29</v>
      </c>
      <c r="B59" s="1">
        <v>1</v>
      </c>
      <c r="C59" s="1" t="s">
        <v>14</v>
      </c>
      <c r="F59" s="120" t="str">
        <f>IF(G58&lt;G50, "Reject the null hypothesis", "Do not reject the null hypothesis")</f>
        <v>Reject the null hypothesis</v>
      </c>
      <c r="G59" s="121"/>
      <c r="H59" s="30"/>
      <c r="I59" s="30"/>
      <c r="J59" s="30"/>
      <c r="K59" s="30"/>
      <c r="L59" s="30"/>
      <c r="M59" s="30"/>
      <c r="N59" s="30"/>
    </row>
    <row r="60" spans="1:14">
      <c r="A60" s="1" t="s">
        <v>30</v>
      </c>
      <c r="B60" s="1">
        <v>1</v>
      </c>
      <c r="C60" s="1" t="s">
        <v>11</v>
      </c>
      <c r="F60" s="30"/>
      <c r="G60" s="30"/>
      <c r="H60" s="30"/>
      <c r="I60" s="30"/>
      <c r="J60" s="30"/>
      <c r="K60" s="30"/>
      <c r="L60" s="30"/>
      <c r="M60" s="30"/>
      <c r="N60" s="30"/>
    </row>
    <row r="61" spans="1:14">
      <c r="A61" s="1" t="s">
        <v>29</v>
      </c>
      <c r="B61" s="1">
        <v>1</v>
      </c>
      <c r="C61" s="1" t="s">
        <v>11</v>
      </c>
      <c r="F61" s="46" t="s">
        <v>102</v>
      </c>
      <c r="G61" s="30"/>
      <c r="H61" s="30"/>
      <c r="I61" s="30"/>
      <c r="J61" s="30"/>
      <c r="K61" s="30"/>
      <c r="L61" s="30"/>
      <c r="M61" s="30"/>
      <c r="N61" s="30"/>
    </row>
    <row r="62" spans="1:14">
      <c r="A62" s="1" t="s">
        <v>31</v>
      </c>
      <c r="B62" s="1">
        <v>1</v>
      </c>
      <c r="C62" s="1" t="s">
        <v>11</v>
      </c>
      <c r="F62" s="46" t="str">
        <f>IF(OR(G45&lt;1, H45&lt;1, I45&lt;1, G46&lt;1, H46&lt;1, I46&lt;1), "       is violated.", "       is met.")</f>
        <v xml:space="preserve">       is met.</v>
      </c>
      <c r="G62" s="30"/>
      <c r="H62" s="30"/>
      <c r="I62" s="30"/>
      <c r="J62" s="30"/>
      <c r="K62" s="30"/>
      <c r="L62" s="30"/>
      <c r="M62" s="30"/>
      <c r="N62" s="30"/>
    </row>
    <row r="63" spans="1:14">
      <c r="A63" s="1" t="s">
        <v>30</v>
      </c>
      <c r="B63" s="1">
        <v>1</v>
      </c>
      <c r="C63" s="1" t="s">
        <v>11</v>
      </c>
      <c r="F63" s="30"/>
      <c r="G63" s="30"/>
      <c r="H63" s="30"/>
      <c r="I63" s="30"/>
      <c r="J63" s="30"/>
      <c r="K63" s="30"/>
      <c r="L63" s="30"/>
      <c r="M63" s="30"/>
      <c r="N63" s="30"/>
    </row>
    <row r="64" spans="1:14" ht="16">
      <c r="A64" s="1" t="s">
        <v>31</v>
      </c>
      <c r="B64" s="1">
        <v>1</v>
      </c>
      <c r="C64" s="1" t="s">
        <v>11</v>
      </c>
      <c r="F64" s="47" t="s">
        <v>103</v>
      </c>
      <c r="G64" s="30"/>
      <c r="H64" s="30"/>
      <c r="I64" s="30"/>
      <c r="J64" s="30"/>
      <c r="K64" s="30"/>
      <c r="L64" s="30"/>
      <c r="M64" s="30"/>
      <c r="N64" s="30"/>
    </row>
    <row r="65" spans="1:14">
      <c r="A65" s="1" t="s">
        <v>31</v>
      </c>
      <c r="B65" s="1">
        <v>1</v>
      </c>
      <c r="C65" s="1" t="s">
        <v>11</v>
      </c>
      <c r="F65" s="42"/>
      <c r="G65" s="30"/>
      <c r="H65" s="30"/>
      <c r="I65" s="30"/>
      <c r="J65" s="30"/>
      <c r="K65" s="30"/>
      <c r="L65" s="30"/>
      <c r="M65" s="30"/>
      <c r="N65" s="30"/>
    </row>
    <row r="66" spans="1:14">
      <c r="A66" s="1" t="s">
        <v>31</v>
      </c>
      <c r="B66" s="1">
        <v>1</v>
      </c>
      <c r="C66" s="1" t="s">
        <v>11</v>
      </c>
      <c r="F66" s="41" t="s">
        <v>95</v>
      </c>
      <c r="G66" s="41">
        <f>G50</f>
        <v>0.05</v>
      </c>
      <c r="H66" s="30"/>
      <c r="I66" s="30"/>
      <c r="J66" s="30"/>
      <c r="K66" s="30"/>
      <c r="L66" s="30"/>
      <c r="M66" s="30"/>
      <c r="N66" s="30"/>
    </row>
    <row r="67" spans="1:14">
      <c r="A67" s="1" t="s">
        <v>31</v>
      </c>
      <c r="B67" s="1">
        <v>1</v>
      </c>
      <c r="C67" s="1" t="s">
        <v>11</v>
      </c>
      <c r="F67" s="79" t="s">
        <v>104</v>
      </c>
      <c r="G67" s="79">
        <f>SQRT(G56)</f>
        <v>2.4477468306808166</v>
      </c>
      <c r="H67" s="30"/>
      <c r="I67" s="30"/>
      <c r="J67" s="30"/>
      <c r="K67" s="30"/>
      <c r="L67" s="30"/>
      <c r="M67" s="30"/>
      <c r="N67" s="30"/>
    </row>
    <row r="68" spans="1:14">
      <c r="F68" s="82"/>
      <c r="G68" s="82"/>
      <c r="H68" s="30"/>
      <c r="I68" s="30"/>
      <c r="J68" s="30"/>
      <c r="K68" s="30"/>
      <c r="L68" s="30"/>
      <c r="M68" s="30"/>
      <c r="N68" s="30"/>
    </row>
    <row r="69" spans="1:14">
      <c r="F69" s="126" t="s">
        <v>105</v>
      </c>
      <c r="G69" s="126"/>
      <c r="H69" s="30"/>
      <c r="I69" s="30"/>
      <c r="J69" s="30"/>
      <c r="K69" s="30"/>
      <c r="L69" s="30"/>
      <c r="M69" s="30"/>
      <c r="N69" s="30"/>
    </row>
    <row r="70" spans="1:14">
      <c r="F70" s="79" t="str">
        <f>"1: " &amp; G37</f>
        <v>1: Control</v>
      </c>
      <c r="G70" s="79">
        <f>G38/G40</f>
        <v>0.45454545454545453</v>
      </c>
      <c r="H70" s="30"/>
      <c r="I70" s="30"/>
      <c r="J70" s="30"/>
      <c r="K70" s="30"/>
      <c r="L70" s="30"/>
      <c r="M70" s="30"/>
      <c r="N70" s="30"/>
    </row>
    <row r="71" spans="1:14">
      <c r="F71" s="79" t="str">
        <f>"2: " &amp; H37</f>
        <v>2: Experiential Program</v>
      </c>
      <c r="G71" s="79">
        <f>H38/H40</f>
        <v>0.18181818181818182</v>
      </c>
      <c r="H71" s="30"/>
      <c r="I71" s="30"/>
      <c r="J71" s="30"/>
      <c r="K71" s="30"/>
      <c r="L71" s="30"/>
      <c r="M71" s="30"/>
      <c r="N71" s="30"/>
    </row>
    <row r="72" spans="1:14">
      <c r="F72" s="79" t="str">
        <f>"3: " &amp; I37</f>
        <v>3: Mentoring program</v>
      </c>
      <c r="G72" s="79">
        <f>I38/I40</f>
        <v>0.13636363636363635</v>
      </c>
      <c r="H72" s="30"/>
      <c r="I72" s="30"/>
      <c r="J72" s="30"/>
      <c r="K72" s="30"/>
      <c r="L72" s="30"/>
      <c r="M72" s="30"/>
      <c r="N72" s="30"/>
    </row>
    <row r="73" spans="1:14">
      <c r="F73" s="30"/>
      <c r="G73" s="30"/>
      <c r="H73" s="30"/>
      <c r="I73" s="30"/>
      <c r="J73" s="30"/>
      <c r="K73" s="30"/>
      <c r="L73" s="30"/>
      <c r="M73" s="30"/>
      <c r="N73" s="30"/>
    </row>
    <row r="74" spans="1:14">
      <c r="F74" s="119" t="s">
        <v>106</v>
      </c>
      <c r="G74" s="119"/>
      <c r="H74" s="119"/>
      <c r="I74" s="30"/>
      <c r="J74" s="30"/>
      <c r="K74" s="30"/>
      <c r="L74" s="30"/>
      <c r="M74" s="30"/>
      <c r="N74" s="30"/>
    </row>
    <row r="75" spans="1:14">
      <c r="F75" s="43" t="s">
        <v>107</v>
      </c>
      <c r="G75" s="43" t="s">
        <v>108</v>
      </c>
      <c r="H75" s="43" t="s">
        <v>109</v>
      </c>
      <c r="I75" s="30"/>
      <c r="J75" s="30"/>
      <c r="K75" s="30"/>
      <c r="L75" s="30"/>
      <c r="M75" s="30"/>
      <c r="N75" s="30"/>
    </row>
    <row r="76" spans="1:14">
      <c r="F76" s="43" t="s">
        <v>153</v>
      </c>
      <c r="G76" s="80">
        <f>ABS(G70 - G71)</f>
        <v>0.27272727272727271</v>
      </c>
      <c r="H76" s="80">
        <f>G67 * SQRT(G70 * (1 - G70)/G40+G71 * (1 - G71)/H40)</f>
        <v>0.32868742574011417</v>
      </c>
      <c r="I76" s="30" t="str">
        <f>IF(G76&gt; H76, "Significant", "Not significant")</f>
        <v>Not significant</v>
      </c>
      <c r="J76" s="30"/>
      <c r="K76" s="30"/>
      <c r="L76" s="30"/>
      <c r="M76" s="30"/>
      <c r="N76" s="30"/>
    </row>
    <row r="77" spans="1:14">
      <c r="F77" s="43" t="s">
        <v>154</v>
      </c>
      <c r="G77" s="80">
        <f>ABS(G70 - G72)</f>
        <v>0.31818181818181818</v>
      </c>
      <c r="H77" s="80">
        <f>G67 * SQRT(G70 * (1 - G70)/G40+G72 * (1 - G72)/I40)</f>
        <v>0.31558700282519464</v>
      </c>
      <c r="I77" s="30" t="str">
        <f>IF(G77&gt; H77, "Significant", "Not significant")</f>
        <v>Significant</v>
      </c>
      <c r="J77" s="30"/>
      <c r="K77" s="30"/>
      <c r="L77" s="30"/>
      <c r="M77" s="30"/>
      <c r="N77" s="30"/>
    </row>
    <row r="78" spans="1:14">
      <c r="F78" s="30"/>
      <c r="G78" s="82"/>
      <c r="H78" s="82"/>
      <c r="I78" s="30"/>
      <c r="J78" s="30"/>
      <c r="K78" s="30"/>
      <c r="L78" s="30"/>
      <c r="M78" s="30"/>
      <c r="N78" s="30"/>
    </row>
    <row r="79" spans="1:14">
      <c r="F79" s="43" t="s">
        <v>155</v>
      </c>
      <c r="G79" s="80">
        <f>ABS(G71 - G72)</f>
        <v>4.545454545454547E-2</v>
      </c>
      <c r="H79" s="80">
        <f>G67 * SQRT(G71 * (1 - G71)/H40+G72 * (1 - G72)/I40)</f>
        <v>0.26941844850023472</v>
      </c>
      <c r="I79" s="30" t="str">
        <f>IF(G79&gt; H79, "Significant", "Not significant")</f>
        <v>Not significant</v>
      </c>
      <c r="J79" s="30"/>
      <c r="K79" s="30"/>
      <c r="L79" s="30"/>
      <c r="M79" s="30"/>
      <c r="N79" s="30"/>
    </row>
  </sheetData>
  <mergeCells count="11">
    <mergeCell ref="F49:G49"/>
    <mergeCell ref="F55:G55"/>
    <mergeCell ref="F59:G59"/>
    <mergeCell ref="F69:G69"/>
    <mergeCell ref="F74:H74"/>
    <mergeCell ref="L44:N44"/>
    <mergeCell ref="F35:J35"/>
    <mergeCell ref="G36:J36"/>
    <mergeCell ref="L37:N37"/>
    <mergeCell ref="F42:J42"/>
    <mergeCell ref="G43:I43"/>
  </mergeCells>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Employee Attrition</vt:lpstr>
      <vt:lpstr>Job_Satisfaction_Changes</vt:lpstr>
      <vt:lpstr>Early-Career_Retention</vt:lpstr>
      <vt:lpstr>Analysis Result </vt:lpstr>
      <vt:lpstr>1.1 TASK </vt:lpstr>
      <vt:lpstr>1.2 TASK</vt:lpstr>
      <vt:lpstr>1.3 TASK </vt:lpstr>
      <vt:lpstr>2.1 Task </vt:lpstr>
      <vt:lpstr>2.2 TASK</vt:lpstr>
      <vt:lpstr>2.3TASK__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Mengyao FU</dc:creator>
  <cp:lastModifiedBy>RISHITA SHARMA</cp:lastModifiedBy>
  <dcterms:created xsi:type="dcterms:W3CDTF">2025-07-08T15:42:11Z</dcterms:created>
  <dcterms:modified xsi:type="dcterms:W3CDTF">2025-08-08T10:15:45Z</dcterms:modified>
</cp:coreProperties>
</file>